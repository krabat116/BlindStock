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codeName="ThisWorkbook"/>
  <mc:AlternateContent xmlns:mc="http://schemas.openxmlformats.org/markup-compatibility/2006">
    <mc:Choice Requires="x15">
      <x15ac:absPath xmlns:x15ac="http://schemas.microsoft.com/office/spreadsheetml/2010/11/ac" url="/Volumes/NO NAME/Excel Data/2021/Past Months/January/"/>
    </mc:Choice>
  </mc:AlternateContent>
  <xr:revisionPtr revIDLastSave="0" documentId="13_ncr:1_{EC186B48-FB6D-BE44-AEAB-47052334E0DB}" xr6:coauthVersionLast="47" xr6:coauthVersionMax="47" xr10:uidLastSave="{00000000-0000-0000-0000-000000000000}"/>
  <bookViews>
    <workbookView xWindow="-26140" yWindow="-2920" windowWidth="26840" windowHeight="15640" tabRatio="402" xr2:uid="{00000000-000D-0000-FFFF-FFFF00000000}"/>
  </bookViews>
  <sheets>
    <sheet name="ORDER SHEET" sheetId="1" r:id="rId1"/>
    <sheet name="CTRL" sheetId="10" state="veryHidden" r:id="rId2"/>
    <sheet name="LABELS" sheetId="9" r:id="rId3"/>
    <sheet name="Materials" sheetId="8" state="hidden" r:id="rId4"/>
  </sheets>
  <externalReferences>
    <externalReference r:id="rId5"/>
    <externalReference r:id="rId6"/>
    <externalReference r:id="rId7"/>
  </externalReferences>
  <definedNames>
    <definedName name="order_AccountCol">'ORDER SHEET'!$A:$A</definedName>
    <definedName name="order_CNHCol">'ORDER SHEET'!$Q:$Q</definedName>
    <definedName name="order_ColourCol">'ORDER SHEET'!$N:$N</definedName>
    <definedName name="order_CustNameCol">'ORDER SHEET'!$B:$B</definedName>
    <definedName name="order_DetStart" localSheetId="0">'ORDER SHEET'!$A$7</definedName>
    <definedName name="order_DropCol">'ORDER SHEET'!$G:$G</definedName>
    <definedName name="order_FinishCol">'ORDER SHEET'!$M:$M</definedName>
    <definedName name="order_MaterialCol">'ORDER SHEET'!$I:$I</definedName>
    <definedName name="order_OrderNumCol">'ORDER SHEET'!$C:$C</definedName>
    <definedName name="order_Qty" localSheetId="0">'ORDER SHEET'!$R:$R</definedName>
    <definedName name="order_SheetNo" localSheetId="0">'ORDER SHEET'!$S$2</definedName>
    <definedName name="order_TapeSplineCol">'ORDER SHEET'!$K:$K</definedName>
    <definedName name="order_WidthCol">'ORDER SHEET'!$F:$F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122" i="9" l="1"/>
  <c r="E118" i="9"/>
  <c r="E114" i="9"/>
  <c r="E110" i="9"/>
  <c r="E106" i="9"/>
  <c r="E102" i="9"/>
  <c r="E98" i="9"/>
  <c r="E94" i="9"/>
  <c r="E90" i="9"/>
  <c r="E86" i="9"/>
  <c r="E82" i="9"/>
  <c r="E78" i="9"/>
  <c r="E74" i="9"/>
  <c r="E70" i="9"/>
  <c r="E66" i="9"/>
  <c r="E62" i="9"/>
  <c r="E58" i="9"/>
  <c r="E54" i="9"/>
  <c r="E50" i="9"/>
  <c r="E46" i="9"/>
  <c r="E42" i="9"/>
  <c r="E38" i="9"/>
  <c r="E34" i="9"/>
  <c r="E30" i="9"/>
  <c r="E26" i="9"/>
  <c r="E22" i="9"/>
  <c r="E18" i="9"/>
  <c r="E14" i="9"/>
  <c r="E10" i="9"/>
  <c r="E6" i="9"/>
  <c r="E2" i="9"/>
  <c r="C121" i="9" l="1"/>
  <c r="C117" i="9"/>
  <c r="C113" i="9"/>
  <c r="C109" i="9"/>
  <c r="C105" i="9"/>
  <c r="C101" i="9"/>
  <c r="C97" i="9"/>
  <c r="C93" i="9"/>
  <c r="C89" i="9"/>
  <c r="C85" i="9"/>
  <c r="C81" i="9"/>
  <c r="C77" i="9"/>
  <c r="C73" i="9"/>
  <c r="C69" i="9"/>
  <c r="C65" i="9"/>
  <c r="C61" i="9"/>
  <c r="C57" i="9"/>
  <c r="C53" i="9"/>
  <c r="C49" i="9"/>
  <c r="C45" i="9"/>
  <c r="C41" i="9"/>
  <c r="C37" i="9"/>
  <c r="C33" i="9"/>
  <c r="C29" i="9"/>
  <c r="C25" i="9"/>
  <c r="C21" i="9"/>
  <c r="C17" i="9"/>
  <c r="C13" i="9"/>
  <c r="C9" i="9"/>
  <c r="C5" i="9"/>
  <c r="C1" i="9"/>
  <c r="B123" i="9" l="1"/>
  <c r="B119" i="9"/>
  <c r="B115" i="9"/>
  <c r="B111" i="9"/>
  <c r="B107" i="9"/>
  <c r="B103" i="9"/>
  <c r="B99" i="9"/>
  <c r="B95" i="9"/>
  <c r="B91" i="9"/>
  <c r="B87" i="9"/>
  <c r="B83" i="9"/>
  <c r="B79" i="9"/>
  <c r="B75" i="9"/>
  <c r="B71" i="9"/>
  <c r="B67" i="9"/>
  <c r="B63" i="9"/>
  <c r="B59" i="9"/>
  <c r="B55" i="9"/>
  <c r="B51" i="9"/>
  <c r="B47" i="9"/>
  <c r="B43" i="9"/>
  <c r="B39" i="9"/>
  <c r="B35" i="9" l="1"/>
  <c r="B31" i="9"/>
  <c r="B27" i="9"/>
  <c r="B23" i="9"/>
  <c r="B19" i="9"/>
  <c r="B15" i="9"/>
  <c r="B11" i="9"/>
  <c r="B7" i="9"/>
  <c r="B3" i="9"/>
  <c r="C7" i="9"/>
  <c r="C123" i="9"/>
  <c r="C119" i="9"/>
  <c r="C115" i="9"/>
  <c r="C111" i="9"/>
  <c r="C107" i="9"/>
  <c r="C103" i="9"/>
  <c r="C99" i="9"/>
  <c r="C95" i="9"/>
  <c r="C91" i="9"/>
  <c r="C87" i="9"/>
  <c r="C83" i="9"/>
  <c r="C79" i="9"/>
  <c r="C75" i="9"/>
  <c r="C71" i="9"/>
  <c r="C67" i="9"/>
  <c r="C63" i="9"/>
  <c r="C59" i="9"/>
  <c r="C55" i="9"/>
  <c r="C51" i="9"/>
  <c r="C47" i="9"/>
  <c r="C43" i="9"/>
  <c r="C39" i="9"/>
  <c r="C35" i="9"/>
  <c r="C31" i="9"/>
  <c r="C27" i="9"/>
  <c r="C23" i="9"/>
  <c r="C19" i="9"/>
  <c r="C15" i="9"/>
  <c r="C11" i="9"/>
  <c r="C3" i="9"/>
  <c r="E124" i="9"/>
  <c r="D124" i="9"/>
  <c r="D123" i="9"/>
  <c r="A123" i="9"/>
  <c r="D122" i="9"/>
  <c r="C122" i="9"/>
  <c r="D121" i="9"/>
  <c r="B121" i="9"/>
  <c r="A121" i="9"/>
  <c r="E120" i="9"/>
  <c r="D120" i="9"/>
  <c r="D119" i="9"/>
  <c r="A119" i="9"/>
  <c r="D118" i="9"/>
  <c r="C118" i="9"/>
  <c r="D117" i="9"/>
  <c r="B117" i="9"/>
  <c r="A117" i="9"/>
  <c r="E116" i="9"/>
  <c r="D116" i="9"/>
  <c r="D115" i="9"/>
  <c r="A115" i="9"/>
  <c r="D114" i="9"/>
  <c r="C114" i="9"/>
  <c r="D113" i="9"/>
  <c r="B113" i="9"/>
  <c r="A113" i="9"/>
  <c r="E112" i="9"/>
  <c r="D112" i="9"/>
  <c r="D111" i="9"/>
  <c r="A111" i="9"/>
  <c r="D110" i="9"/>
  <c r="C110" i="9"/>
  <c r="D109" i="9"/>
  <c r="B109" i="9"/>
  <c r="A109" i="9"/>
  <c r="E108" i="9"/>
  <c r="D108" i="9"/>
  <c r="D107" i="9"/>
  <c r="A107" i="9"/>
  <c r="D106" i="9"/>
  <c r="C106" i="9"/>
  <c r="D105" i="9"/>
  <c r="B105" i="9"/>
  <c r="A105" i="9"/>
  <c r="E104" i="9"/>
  <c r="D104" i="9"/>
  <c r="D103" i="9"/>
  <c r="A103" i="9"/>
  <c r="D102" i="9"/>
  <c r="C102" i="9"/>
  <c r="D101" i="9"/>
  <c r="B101" i="9"/>
  <c r="A101" i="9"/>
  <c r="E100" i="9"/>
  <c r="D100" i="9"/>
  <c r="D99" i="9"/>
  <c r="A99" i="9"/>
  <c r="D98" i="9"/>
  <c r="C98" i="9"/>
  <c r="D97" i="9"/>
  <c r="B97" i="9"/>
  <c r="A97" i="9"/>
  <c r="E96" i="9"/>
  <c r="D96" i="9"/>
  <c r="D95" i="9"/>
  <c r="A95" i="9"/>
  <c r="D94" i="9"/>
  <c r="C94" i="9"/>
  <c r="D93" i="9"/>
  <c r="B93" i="9"/>
  <c r="A93" i="9"/>
  <c r="E92" i="9"/>
  <c r="D92" i="9"/>
  <c r="D91" i="9"/>
  <c r="A91" i="9"/>
  <c r="D90" i="9"/>
  <c r="C90" i="9"/>
  <c r="D89" i="9"/>
  <c r="B89" i="9"/>
  <c r="A89" i="9"/>
  <c r="E88" i="9"/>
  <c r="D88" i="9"/>
  <c r="D87" i="9"/>
  <c r="A87" i="9"/>
  <c r="D86" i="9"/>
  <c r="C86" i="9"/>
  <c r="D85" i="9"/>
  <c r="B85" i="9"/>
  <c r="A85" i="9"/>
  <c r="E84" i="9"/>
  <c r="D84" i="9"/>
  <c r="D83" i="9"/>
  <c r="A83" i="9"/>
  <c r="D82" i="9"/>
  <c r="C82" i="9"/>
  <c r="D81" i="9"/>
  <c r="B81" i="9"/>
  <c r="A81" i="9"/>
  <c r="E80" i="9"/>
  <c r="D80" i="9"/>
  <c r="D79" i="9"/>
  <c r="A79" i="9"/>
  <c r="D78" i="9"/>
  <c r="C78" i="9"/>
  <c r="D77" i="9"/>
  <c r="B77" i="9"/>
  <c r="A77" i="9"/>
  <c r="E76" i="9"/>
  <c r="D76" i="9"/>
  <c r="D75" i="9"/>
  <c r="A75" i="9"/>
  <c r="D74" i="9"/>
  <c r="C74" i="9"/>
  <c r="D73" i="9"/>
  <c r="B73" i="9"/>
  <c r="A73" i="9"/>
  <c r="E72" i="9"/>
  <c r="D72" i="9"/>
  <c r="D71" i="9"/>
  <c r="A71" i="9"/>
  <c r="D70" i="9"/>
  <c r="C70" i="9"/>
  <c r="D69" i="9"/>
  <c r="B69" i="9"/>
  <c r="A69" i="9"/>
  <c r="E68" i="9"/>
  <c r="D68" i="9"/>
  <c r="D67" i="9"/>
  <c r="A67" i="9"/>
  <c r="D66" i="9"/>
  <c r="C66" i="9"/>
  <c r="D65" i="9"/>
  <c r="B65" i="9"/>
  <c r="A65" i="9"/>
  <c r="E64" i="9"/>
  <c r="D64" i="9"/>
  <c r="D63" i="9"/>
  <c r="A63" i="9"/>
  <c r="D62" i="9"/>
  <c r="C62" i="9"/>
  <c r="D61" i="9"/>
  <c r="B61" i="9"/>
  <c r="A61" i="9"/>
  <c r="E60" i="9"/>
  <c r="D60" i="9"/>
  <c r="D59" i="9"/>
  <c r="A59" i="9"/>
  <c r="D58" i="9"/>
  <c r="C58" i="9"/>
  <c r="D57" i="9"/>
  <c r="B57" i="9"/>
  <c r="A57" i="9"/>
  <c r="E56" i="9"/>
  <c r="D56" i="9"/>
  <c r="D55" i="9"/>
  <c r="A55" i="9"/>
  <c r="D54" i="9"/>
  <c r="C54" i="9"/>
  <c r="D53" i="9"/>
  <c r="B53" i="9"/>
  <c r="A53" i="9"/>
  <c r="E52" i="9"/>
  <c r="D52" i="9"/>
  <c r="D51" i="9"/>
  <c r="A51" i="9"/>
  <c r="D50" i="9"/>
  <c r="C50" i="9"/>
  <c r="D49" i="9"/>
  <c r="B49" i="9"/>
  <c r="A49" i="9"/>
  <c r="E48" i="9"/>
  <c r="D48" i="9"/>
  <c r="D47" i="9"/>
  <c r="A47" i="9"/>
  <c r="D46" i="9"/>
  <c r="C46" i="9"/>
  <c r="D45" i="9"/>
  <c r="B45" i="9"/>
  <c r="A45" i="9"/>
  <c r="E44" i="9"/>
  <c r="D44" i="9"/>
  <c r="D43" i="9"/>
  <c r="A43" i="9"/>
  <c r="D42" i="9"/>
  <c r="C42" i="9"/>
  <c r="D41" i="9"/>
  <c r="B41" i="9"/>
  <c r="A41" i="9"/>
  <c r="E40" i="9"/>
  <c r="D40" i="9"/>
  <c r="D39" i="9"/>
  <c r="A39" i="9"/>
  <c r="D38" i="9"/>
  <c r="C38" i="9"/>
  <c r="D37" i="9"/>
  <c r="B37" i="9"/>
  <c r="A37" i="9"/>
  <c r="E36" i="9"/>
  <c r="D36" i="9"/>
  <c r="D35" i="9"/>
  <c r="A35" i="9"/>
  <c r="D34" i="9"/>
  <c r="C34" i="9"/>
  <c r="D33" i="9"/>
  <c r="B33" i="9"/>
  <c r="A33" i="9"/>
  <c r="E32" i="9"/>
  <c r="D32" i="9"/>
  <c r="D31" i="9"/>
  <c r="A31" i="9"/>
  <c r="D30" i="9"/>
  <c r="C30" i="9"/>
  <c r="D29" i="9"/>
  <c r="B29" i="9"/>
  <c r="A29" i="9"/>
  <c r="E28" i="9"/>
  <c r="D28" i="9"/>
  <c r="D27" i="9"/>
  <c r="A27" i="9"/>
  <c r="D26" i="9"/>
  <c r="C26" i="9"/>
  <c r="D25" i="9"/>
  <c r="B25" i="9"/>
  <c r="A25" i="9"/>
  <c r="E24" i="9"/>
  <c r="D24" i="9"/>
  <c r="D23" i="9"/>
  <c r="A23" i="9"/>
  <c r="D22" i="9"/>
  <c r="C22" i="9"/>
  <c r="D21" i="9"/>
  <c r="B21" i="9"/>
  <c r="A21" i="9"/>
  <c r="E20" i="9"/>
  <c r="D20" i="9"/>
  <c r="D19" i="9"/>
  <c r="A19" i="9"/>
  <c r="D18" i="9"/>
  <c r="C18" i="9"/>
  <c r="D17" i="9"/>
  <c r="B17" i="9"/>
  <c r="A17" i="9"/>
  <c r="E16" i="9"/>
  <c r="D16" i="9"/>
  <c r="D15" i="9"/>
  <c r="A15" i="9"/>
  <c r="D14" i="9"/>
  <c r="C14" i="9"/>
  <c r="D13" i="9"/>
  <c r="B13" i="9"/>
  <c r="A13" i="9"/>
  <c r="E12" i="9"/>
  <c r="D12" i="9"/>
  <c r="D11" i="9"/>
  <c r="A11" i="9"/>
  <c r="D10" i="9"/>
  <c r="C10" i="9"/>
  <c r="D9" i="9"/>
  <c r="B9" i="9"/>
  <c r="A9" i="9"/>
  <c r="E8" i="9"/>
  <c r="D8" i="9"/>
  <c r="D7" i="9"/>
  <c r="A7" i="9"/>
  <c r="D6" i="9"/>
  <c r="C6" i="9"/>
  <c r="D5" i="9"/>
  <c r="B5" i="9"/>
  <c r="A5" i="9"/>
  <c r="E4" i="9"/>
  <c r="D4" i="9"/>
  <c r="D3" i="9"/>
  <c r="A3" i="9"/>
  <c r="D2" i="9"/>
  <c r="C2" i="9"/>
  <c r="D1" i="9"/>
  <c r="B1" i="9"/>
  <c r="A1" i="9"/>
</calcChain>
</file>

<file path=xl/sharedStrings.xml><?xml version="1.0" encoding="utf-8"?>
<sst xmlns="http://schemas.openxmlformats.org/spreadsheetml/2006/main" count="656" uniqueCount="260">
  <si>
    <t>Shadelite Blinds (Vic) Pty. Ltd.</t>
  </si>
  <si>
    <t xml:space="preserve">18 Allied Drive  Tullamarine  VIC  3044            </t>
  </si>
  <si>
    <t xml:space="preserve">Phone: (03) 9330 2713      Fax: (03) 93352570  </t>
  </si>
  <si>
    <t xml:space="preserve">Email: Shadeliteblinds@gmail.com   </t>
  </si>
  <si>
    <t>Orders: Orders.Shadeliteblinds@gmail.com</t>
  </si>
  <si>
    <t>ACCOUNT</t>
  </si>
  <si>
    <t>ROOM</t>
  </si>
  <si>
    <t>WIDTH</t>
  </si>
  <si>
    <t>DROP</t>
  </si>
  <si>
    <t>MATERIAL</t>
  </si>
  <si>
    <t>ACCESSORIES</t>
  </si>
  <si>
    <t>SIDE</t>
  </si>
  <si>
    <t>WDR</t>
  </si>
  <si>
    <t>QTY</t>
  </si>
  <si>
    <t>CHN</t>
  </si>
  <si>
    <t>&amp; NOTES</t>
  </si>
  <si>
    <t>ROLL</t>
  </si>
  <si>
    <t>OPERATION</t>
  </si>
  <si>
    <t>CHAIN SIZE/</t>
  </si>
  <si>
    <t>DATE:</t>
  </si>
  <si>
    <t>ORDER SHEET NO.</t>
  </si>
  <si>
    <t>Material</t>
  </si>
  <si>
    <t>CUSTOMER NAME</t>
  </si>
  <si>
    <t>COMPONENTRY COLOUR</t>
  </si>
  <si>
    <t>Price List Name</t>
  </si>
  <si>
    <t>Group 1</t>
  </si>
  <si>
    <t>LE REVE</t>
  </si>
  <si>
    <t>Group 4</t>
  </si>
  <si>
    <t>6th Avenue</t>
  </si>
  <si>
    <t>Group 5</t>
  </si>
  <si>
    <t>Aruba</t>
  </si>
  <si>
    <t>Aspen</t>
  </si>
  <si>
    <t xml:space="preserve">Bauhaus </t>
  </si>
  <si>
    <t>Buxton</t>
  </si>
  <si>
    <t xml:space="preserve">Cascade </t>
  </si>
  <si>
    <t>Castille</t>
  </si>
  <si>
    <t>Dawn</t>
  </si>
  <si>
    <t>Group 2</t>
  </si>
  <si>
    <t>Dawn Mini</t>
  </si>
  <si>
    <t>Group 3</t>
  </si>
  <si>
    <t>Dawn Perlized</t>
  </si>
  <si>
    <t>Echo</t>
  </si>
  <si>
    <t>Group 7</t>
  </si>
  <si>
    <t>Elegance</t>
  </si>
  <si>
    <t>Elements</t>
  </si>
  <si>
    <t>Group 6</t>
  </si>
  <si>
    <t>Essence</t>
  </si>
  <si>
    <t>Evolution</t>
  </si>
  <si>
    <t>Fraser</t>
  </si>
  <si>
    <t>Husk II</t>
  </si>
  <si>
    <t>Icon</t>
  </si>
  <si>
    <t>Katoomba</t>
  </si>
  <si>
    <t>Matka</t>
  </si>
  <si>
    <t>Mermet Centro</t>
  </si>
  <si>
    <t>Moreton Bay</t>
  </si>
  <si>
    <t>Parnell</t>
  </si>
  <si>
    <t>Plaza Plus</t>
  </si>
  <si>
    <t>Quebec</t>
  </si>
  <si>
    <t>Rami</t>
  </si>
  <si>
    <t>Resene</t>
  </si>
  <si>
    <t>Savanna</t>
  </si>
  <si>
    <t>Shaw Duo Block</t>
  </si>
  <si>
    <t>Shaw Vibe Metallic</t>
  </si>
  <si>
    <t>Spring-Thyme</t>
  </si>
  <si>
    <t>St Lucia</t>
  </si>
  <si>
    <t>Sunbloc</t>
  </si>
  <si>
    <t>Tempo</t>
  </si>
  <si>
    <t>Uniline Sunset</t>
  </si>
  <si>
    <t>Villa</t>
  </si>
  <si>
    <t>Yukon</t>
  </si>
  <si>
    <t>Zara</t>
  </si>
  <si>
    <t>S View</t>
  </si>
  <si>
    <t>Duo Screen</t>
  </si>
  <si>
    <t>Uniview 2%</t>
  </si>
  <si>
    <t>Uniview 5%</t>
  </si>
  <si>
    <t>Uniview 10%</t>
  </si>
  <si>
    <t>Ecolibrium 4300</t>
  </si>
  <si>
    <t>Group 3S</t>
  </si>
  <si>
    <t>Ecolibrium 4500</t>
  </si>
  <si>
    <t>Ecolibrium 4510</t>
  </si>
  <si>
    <t>M Screen</t>
  </si>
  <si>
    <t>Blindware 4303</t>
  </si>
  <si>
    <t xml:space="preserve">Zaru </t>
  </si>
  <si>
    <t>Mermet Deco Screen</t>
  </si>
  <si>
    <t>Group 4S</t>
  </si>
  <si>
    <t>Blindware Deco Screen</t>
  </si>
  <si>
    <t>Ecoview Plus</t>
  </si>
  <si>
    <t>Extraview Plus</t>
  </si>
  <si>
    <t>New Fabric</t>
  </si>
  <si>
    <t>Boston</t>
  </si>
  <si>
    <t>Broome</t>
  </si>
  <si>
    <t>Comet</t>
  </si>
  <si>
    <t>Hyatt</t>
  </si>
  <si>
    <t>Kenross</t>
  </si>
  <si>
    <t>Le Reve</t>
  </si>
  <si>
    <t>Lintex</t>
  </si>
  <si>
    <t>Mantra</t>
  </si>
  <si>
    <t>Matrix</t>
  </si>
  <si>
    <t>Mercury</t>
  </si>
  <si>
    <t>Newport</t>
  </si>
  <si>
    <t>Opus</t>
  </si>
  <si>
    <t>Palau</t>
  </si>
  <si>
    <t>Palm Beach</t>
  </si>
  <si>
    <t>Savona</t>
  </si>
  <si>
    <t>Scarborough</t>
  </si>
  <si>
    <t>Skye</t>
  </si>
  <si>
    <t>Tremont</t>
  </si>
  <si>
    <t>Tuscany</t>
  </si>
  <si>
    <t>Willandra</t>
  </si>
  <si>
    <t>Clovelly</t>
  </si>
  <si>
    <t>Concord</t>
  </si>
  <si>
    <t>Old Materials</t>
  </si>
  <si>
    <t>Vibe Metallic</t>
  </si>
  <si>
    <t>Duo Block</t>
  </si>
  <si>
    <t>Vibe</t>
  </si>
  <si>
    <t>Bauhaus</t>
  </si>
  <si>
    <t>N Vision</t>
  </si>
  <si>
    <t>TAPE</t>
  </si>
  <si>
    <t>FINISH</t>
  </si>
  <si>
    <t>RANGE</t>
  </si>
  <si>
    <t>COLOUR</t>
  </si>
  <si>
    <t xml:space="preserve">BLIND NO </t>
  </si>
  <si>
    <t>Karma</t>
  </si>
  <si>
    <t>Palermo</t>
  </si>
  <si>
    <t>Motif</t>
  </si>
  <si>
    <t>Lite Screen 5%</t>
  </si>
  <si>
    <t>Lite Screen 10%</t>
  </si>
  <si>
    <t>Sunset</t>
  </si>
  <si>
    <t>Aura</t>
  </si>
  <si>
    <t>Flo</t>
  </si>
  <si>
    <t>Xtra</t>
  </si>
  <si>
    <t>Lite Screen</t>
  </si>
  <si>
    <t>Builders</t>
  </si>
  <si>
    <t>Focus</t>
  </si>
  <si>
    <t>Samos</t>
  </si>
  <si>
    <t>Dawn Pearlised &amp; Mini</t>
  </si>
  <si>
    <t>Vivid Block</t>
  </si>
  <si>
    <t>Icon FR</t>
  </si>
  <si>
    <t>Sanctuary</t>
  </si>
  <si>
    <t xml:space="preserve">Barbados </t>
  </si>
  <si>
    <t xml:space="preserve">Kew </t>
  </si>
  <si>
    <t>Husk</t>
  </si>
  <si>
    <t>Gala</t>
  </si>
  <si>
    <t>Southport</t>
  </si>
  <si>
    <t>Urban Shade</t>
  </si>
  <si>
    <t xml:space="preserve">Positano </t>
  </si>
  <si>
    <t>Solarcool 5%</t>
  </si>
  <si>
    <t>Solarcool 10%</t>
  </si>
  <si>
    <t>One Screen</t>
  </si>
  <si>
    <t>Vivid Shade</t>
  </si>
  <si>
    <t>E Screen</t>
  </si>
  <si>
    <t>Aquila</t>
  </si>
  <si>
    <t>Linx</t>
  </si>
  <si>
    <t>Phoenix</t>
  </si>
  <si>
    <t>Taurus</t>
  </si>
  <si>
    <t>Balmoral</t>
  </si>
  <si>
    <t>Belice</t>
  </si>
  <si>
    <t>Boston II</t>
  </si>
  <si>
    <t>Broome II</t>
  </si>
  <si>
    <t>Chatsworth</t>
  </si>
  <si>
    <t>Concord II</t>
  </si>
  <si>
    <t>Jersey</t>
  </si>
  <si>
    <t>Linesque</t>
  </si>
  <si>
    <t>Mercury II</t>
  </si>
  <si>
    <t>Metroshade</t>
  </si>
  <si>
    <t>Serengetti</t>
  </si>
  <si>
    <t>Tasman</t>
  </si>
  <si>
    <t>Tuscany II</t>
  </si>
  <si>
    <t>Tusk</t>
  </si>
  <si>
    <t>Valdes</t>
  </si>
  <si>
    <t>FANCY</t>
  </si>
  <si>
    <t>D30 White</t>
  </si>
  <si>
    <t>D30 Black</t>
  </si>
  <si>
    <t>D30 Silver</t>
  </si>
  <si>
    <t>PLAIN</t>
  </si>
  <si>
    <t>SILVER RAIL</t>
  </si>
  <si>
    <t>WHITE RAIL</t>
  </si>
  <si>
    <t>BLACK RAIL</t>
  </si>
  <si>
    <t>BIRCH RAIL</t>
  </si>
  <si>
    <t>RIVERGUM RAIL</t>
  </si>
  <si>
    <t>CHAMPAGNE RAIL</t>
  </si>
  <si>
    <t>JASPER RAIL</t>
  </si>
  <si>
    <t>STEEL PEARL RAIL</t>
  </si>
  <si>
    <t>CHROME RAIL</t>
  </si>
  <si>
    <t>BLINDS4U</t>
  </si>
  <si>
    <t>Chris</t>
  </si>
  <si>
    <t>LG1/1</t>
  </si>
  <si>
    <t>R</t>
  </si>
  <si>
    <t>M</t>
  </si>
  <si>
    <t>LG1/2</t>
  </si>
  <si>
    <t>LG 1/3</t>
  </si>
  <si>
    <t xml:space="preserve">L </t>
  </si>
  <si>
    <t>S/Door</t>
  </si>
  <si>
    <t>S/L Dbl Bkt</t>
  </si>
  <si>
    <t>Kitc</t>
  </si>
  <si>
    <t>Bed 1/1</t>
  </si>
  <si>
    <t>Bed1/2</t>
  </si>
  <si>
    <t xml:space="preserve">Bed 2 </t>
  </si>
  <si>
    <t>Lg1/1</t>
  </si>
  <si>
    <t>Terrace</t>
  </si>
  <si>
    <t>Lg1/2</t>
  </si>
  <si>
    <t>Lg1/3</t>
  </si>
  <si>
    <t>L</t>
  </si>
  <si>
    <t>S/door</t>
  </si>
  <si>
    <t>Ldy</t>
  </si>
  <si>
    <t>bed 1/1</t>
  </si>
  <si>
    <t>Bed 1/2</t>
  </si>
  <si>
    <t>Bed 2</t>
  </si>
  <si>
    <t>Door</t>
  </si>
  <si>
    <t>SOLARCOOL 5%</t>
  </si>
  <si>
    <t>BEIGE GREY</t>
  </si>
  <si>
    <t>VIBE</t>
  </si>
  <si>
    <t>SILVER</t>
  </si>
  <si>
    <t>OR</t>
  </si>
  <si>
    <t>S WHITE</t>
  </si>
  <si>
    <t>WHITE</t>
  </si>
  <si>
    <t>SWIVEL 750</t>
  </si>
  <si>
    <t>2X RHS SLIMLINE COMBOS</t>
  </si>
  <si>
    <t>1 OF 18</t>
  </si>
  <si>
    <t>2 OF 18</t>
  </si>
  <si>
    <t>3 OF 18</t>
  </si>
  <si>
    <t>4 OF 18</t>
  </si>
  <si>
    <t>5 OF 18</t>
  </si>
  <si>
    <t>6 OF 18</t>
  </si>
  <si>
    <t>7 OF 18</t>
  </si>
  <si>
    <t>8 OF 18</t>
  </si>
  <si>
    <t>9 OF 18</t>
  </si>
  <si>
    <t>10 OF 18</t>
  </si>
  <si>
    <t>11 OF 18</t>
  </si>
  <si>
    <t>12 OF 18</t>
  </si>
  <si>
    <t>13 OF 18</t>
  </si>
  <si>
    <t>14 OF 18</t>
  </si>
  <si>
    <t>15 OF 18</t>
  </si>
  <si>
    <t>16 OF 18</t>
  </si>
  <si>
    <t>17 OF 18</t>
  </si>
  <si>
    <t>18 OF 18</t>
  </si>
  <si>
    <t>14X S WHITE BRACKETS</t>
  </si>
  <si>
    <t>Joanne</t>
  </si>
  <si>
    <t>BED1</t>
  </si>
  <si>
    <t>1 OF 1</t>
  </si>
  <si>
    <t>BIRCH</t>
  </si>
  <si>
    <t>GOT</t>
  </si>
  <si>
    <t>ORDERED</t>
  </si>
  <si>
    <t>Bayview Blinds</t>
  </si>
  <si>
    <t>Edithvale</t>
  </si>
  <si>
    <t>Bedroom</t>
  </si>
  <si>
    <t>CLOUD</t>
  </si>
  <si>
    <t>Bay street</t>
  </si>
  <si>
    <t>Dining</t>
  </si>
  <si>
    <t>Lounge</t>
  </si>
  <si>
    <t>Bedroom 1</t>
  </si>
  <si>
    <t>Bedroom 2</t>
  </si>
  <si>
    <t>1 OF 7</t>
  </si>
  <si>
    <t>2 OF 7</t>
  </si>
  <si>
    <t>3 OF 7</t>
  </si>
  <si>
    <t>4 OF 7</t>
  </si>
  <si>
    <t>5 OF 7</t>
  </si>
  <si>
    <t>6 OF 7</t>
  </si>
  <si>
    <t>7 OF 7</t>
  </si>
  <si>
    <t>7X S WHITE BRACKETS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</si>
</sst>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$&quot;* #,##0.00_-;\-&quot;$&quot;* #,##0.00_-;_-&quot;$&quot;* &quot;-&quot;??_-;_-@_-"/>
    <numFmt numFmtId="165" formatCode="_-* #,##0.00_-;\-* #,##0.00_-;_-* &quot;-&quot;??_-;_-@_-"/>
    <numFmt numFmtId="166" formatCode="[$-C09]0"/>
  </numFmts>
  <fonts count="27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39"/>
      <color rgb="FF000000"/>
      <name val="Souvenir-Light-Bold"/>
    </font>
    <font>
      <i/>
      <sz val="28"/>
      <color rgb="FF000000"/>
      <name val="Souvenir-Light-Bold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4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20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i/>
      <sz val="9"/>
      <color rgb="FF000000"/>
      <name val="Souvenir Demi"/>
    </font>
    <font>
      <sz val="5"/>
      <color theme="1"/>
      <name val="Calibri"/>
      <family val="2"/>
      <scheme val="minor"/>
    </font>
    <font>
      <sz val="10"/>
      <color rgb="FF000000"/>
      <name val="Calibri"/>
      <family val="2"/>
    </font>
    <font>
      <sz val="9"/>
      <color rgb="FF000000"/>
      <name val="Calibri"/>
      <family val="2"/>
    </font>
    <font>
      <sz val="11"/>
      <color rgb="FF000000"/>
      <name val="Calibri"/>
      <family val="2"/>
    </font>
    <font>
      <sz val="8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F8F9FF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1">
    <xf numFmtId="0" fontId="0" fillId="0" borderId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164" fontId="15" fillId="0" borderId="0" applyFont="0" applyFill="0" applyBorder="0" applyAlignment="0" applyProtection="0"/>
    <xf numFmtId="165" fontId="15" fillId="0" borderId="0" applyFont="0" applyFill="0" applyBorder="0" applyAlignment="0" applyProtection="0"/>
  </cellStyleXfs>
  <cellXfs count="87">
    <xf numFmtId="0" fontId="0" fillId="0" borderId="0" xfId="0"/>
    <xf numFmtId="0" fontId="4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6" fillId="0" borderId="3" xfId="0" applyFont="1" applyBorder="1"/>
    <xf numFmtId="0" fontId="7" fillId="0" borderId="3" xfId="0" applyFont="1" applyBorder="1"/>
    <xf numFmtId="0" fontId="6" fillId="0" borderId="3" xfId="0" applyFont="1" applyBorder="1" applyAlignment="1">
      <alignment horizontal="center"/>
    </xf>
    <xf numFmtId="0" fontId="6" fillId="0" borderId="3" xfId="0" applyFont="1" applyBorder="1" applyAlignment="1">
      <alignment horizontal="left"/>
    </xf>
    <xf numFmtId="0" fontId="11" fillId="0" borderId="3" xfId="0" applyFont="1" applyBorder="1" applyAlignment="1">
      <alignment horizontal="center"/>
    </xf>
    <xf numFmtId="0" fontId="9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9" fillId="0" borderId="3" xfId="0" applyFont="1" applyBorder="1" applyAlignment="1">
      <alignment vertical="center"/>
    </xf>
    <xf numFmtId="0" fontId="0" fillId="0" borderId="0" xfId="0" applyAlignment="1">
      <alignment horizontal="center"/>
    </xf>
    <xf numFmtId="0" fontId="7" fillId="0" borderId="7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16" fillId="2" borderId="0" xfId="0" applyFont="1" applyFill="1"/>
    <xf numFmtId="0" fontId="16" fillId="2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17" fillId="0" borderId="0" xfId="0" applyFont="1" applyAlignment="1">
      <alignment horizontal="center" textRotation="90"/>
    </xf>
    <xf numFmtId="0" fontId="0" fillId="0" borderId="0" xfId="0" applyAlignment="1">
      <alignment horizontal="center" textRotation="90"/>
    </xf>
    <xf numFmtId="0" fontId="17" fillId="0" borderId="0" xfId="0" applyFont="1" applyAlignment="1">
      <alignment horizontal="left" vertical="center" textRotation="90"/>
    </xf>
    <xf numFmtId="0" fontId="17" fillId="3" borderId="0" xfId="0" applyFont="1" applyFill="1" applyAlignment="1">
      <alignment horizontal="center" textRotation="90"/>
    </xf>
    <xf numFmtId="0" fontId="0" fillId="3" borderId="0" xfId="0" applyFill="1" applyAlignment="1">
      <alignment horizontal="center" textRotation="90"/>
    </xf>
    <xf numFmtId="0" fontId="17" fillId="3" borderId="0" xfId="0" applyFont="1" applyFill="1" applyAlignment="1">
      <alignment horizontal="left" vertical="center" textRotation="90"/>
    </xf>
    <xf numFmtId="0" fontId="0" fillId="0" borderId="0" xfId="0" applyAlignment="1">
      <alignment horizontal="left"/>
    </xf>
    <xf numFmtId="0" fontId="1" fillId="0" borderId="3" xfId="0" applyFont="1" applyBorder="1" applyAlignment="1">
      <alignment horizontal="center"/>
    </xf>
    <xf numFmtId="0" fontId="11" fillId="0" borderId="7" xfId="0" applyFont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0" fontId="21" fillId="0" borderId="0" xfId="0" applyFont="1" applyAlignment="1">
      <alignment vertical="center"/>
    </xf>
    <xf numFmtId="0" fontId="21" fillId="0" borderId="0" xfId="0" applyFont="1" applyAlignment="1">
      <alignment horizontal="left" vertical="center"/>
    </xf>
    <xf numFmtId="0" fontId="10" fillId="0" borderId="3" xfId="0" applyFont="1" applyBorder="1" applyAlignment="1">
      <alignment horizontal="center"/>
    </xf>
    <xf numFmtId="1" fontId="0" fillId="0" borderId="0" xfId="0" applyNumberFormat="1" applyAlignment="1">
      <alignment horizontal="center" vertical="center" textRotation="90"/>
    </xf>
    <xf numFmtId="1" fontId="10" fillId="0" borderId="3" xfId="0" quotePrefix="1" applyNumberFormat="1" applyFont="1" applyBorder="1" applyAlignment="1">
      <alignment horizontal="center"/>
    </xf>
    <xf numFmtId="1" fontId="0" fillId="3" borderId="0" xfId="0" applyNumberFormat="1" applyFill="1" applyAlignment="1">
      <alignment horizontal="center" vertical="center" textRotation="90"/>
    </xf>
    <xf numFmtId="1" fontId="17" fillId="0" borderId="0" xfId="0" applyNumberFormat="1" applyFont="1" applyAlignment="1">
      <alignment horizontal="center" vertical="center" textRotation="90"/>
    </xf>
    <xf numFmtId="1" fontId="17" fillId="3" borderId="0" xfId="0" applyNumberFormat="1" applyFont="1" applyFill="1" applyAlignment="1">
      <alignment horizontal="center" vertical="center" textRotation="90"/>
    </xf>
    <xf numFmtId="0" fontId="17" fillId="3" borderId="0" xfId="0" applyFont="1" applyFill="1" applyAlignment="1">
      <alignment horizontal="center" vertical="center" textRotation="90"/>
    </xf>
    <xf numFmtId="0" fontId="17" fillId="0" borderId="0" xfId="0" applyFont="1" applyAlignment="1">
      <alignment horizontal="center" vertical="center" textRotation="90"/>
    </xf>
    <xf numFmtId="0" fontId="6" fillId="0" borderId="0" xfId="0" applyFont="1"/>
    <xf numFmtId="1" fontId="10" fillId="0" borderId="0" xfId="0" quotePrefix="1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2" xfId="0" applyFont="1" applyBorder="1"/>
    <xf numFmtId="0" fontId="23" fillId="0" borderId="14" xfId="0" applyFont="1" applyBorder="1"/>
    <xf numFmtId="166" fontId="24" fillId="0" borderId="14" xfId="0" applyNumberFormat="1" applyFont="1" applyBorder="1" applyAlignment="1">
      <alignment horizontal="center"/>
    </xf>
    <xf numFmtId="0" fontId="25" fillId="0" borderId="14" xfId="0" applyFont="1" applyBorder="1" applyAlignment="1">
      <alignment horizontal="center"/>
    </xf>
    <xf numFmtId="0" fontId="23" fillId="0" borderId="14" xfId="0" applyFont="1" applyBorder="1" applyAlignment="1">
      <alignment horizontal="left"/>
    </xf>
    <xf numFmtId="0" fontId="24" fillId="0" borderId="14" xfId="0" applyFont="1" applyBorder="1" applyAlignment="1">
      <alignment horizontal="center"/>
    </xf>
    <xf numFmtId="0" fontId="26" fillId="0" borderId="14" xfId="0" applyFont="1" applyBorder="1" applyAlignment="1">
      <alignment horizontal="center"/>
    </xf>
    <xf numFmtId="0" fontId="23" fillId="0" borderId="14" xfId="0" applyFont="1" applyBorder="1" applyAlignment="1">
      <alignment horizontal="center"/>
    </xf>
    <xf numFmtId="1" fontId="1" fillId="0" borderId="3" xfId="0" quotePrefix="1" applyNumberFormat="1" applyFont="1" applyBorder="1" applyAlignment="1">
      <alignment horizontal="center"/>
    </xf>
    <xf numFmtId="0" fontId="6" fillId="4" borderId="3" xfId="0" applyFont="1" applyFill="1" applyBorder="1"/>
    <xf numFmtId="0" fontId="10" fillId="0" borderId="3" xfId="0" applyFont="1" applyBorder="1" applyAlignment="1">
      <alignment horizontal="left"/>
    </xf>
    <xf numFmtId="0" fontId="5" fillId="0" borderId="0" xfId="0" applyFont="1" applyAlignment="1">
      <alignment horizontal="left" vertical="center"/>
    </xf>
    <xf numFmtId="0" fontId="7" fillId="0" borderId="6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17" fontId="1" fillId="0" borderId="4" xfId="0" applyNumberFormat="1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14" fillId="0" borderId="1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22" fillId="0" borderId="7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 textRotation="90"/>
    </xf>
    <xf numFmtId="0" fontId="18" fillId="0" borderId="0" xfId="0" applyFont="1" applyAlignment="1">
      <alignment horizontal="left" vertical="center" textRotation="90"/>
    </xf>
    <xf numFmtId="0" fontId="19" fillId="0" borderId="0" xfId="0" applyFont="1" applyAlignment="1">
      <alignment horizontal="center" textRotation="90"/>
    </xf>
    <xf numFmtId="0" fontId="18" fillId="0" borderId="0" xfId="0" applyFont="1" applyAlignment="1">
      <alignment horizontal="left" textRotation="90"/>
    </xf>
    <xf numFmtId="0" fontId="0" fillId="0" borderId="0" xfId="0" applyAlignment="1">
      <alignment horizontal="center" textRotation="90"/>
    </xf>
    <xf numFmtId="0" fontId="20" fillId="3" borderId="0" xfId="0" applyFont="1" applyFill="1" applyAlignment="1">
      <alignment horizontal="center" vertical="center" textRotation="90"/>
    </xf>
    <xf numFmtId="0" fontId="18" fillId="3" borderId="0" xfId="0" applyFont="1" applyFill="1" applyAlignment="1">
      <alignment horizontal="left" vertical="center" textRotation="90"/>
    </xf>
    <xf numFmtId="0" fontId="19" fillId="3" borderId="0" xfId="0" applyFont="1" applyFill="1" applyAlignment="1">
      <alignment horizontal="center" textRotation="90"/>
    </xf>
    <xf numFmtId="0" fontId="18" fillId="3" borderId="0" xfId="0" applyFont="1" applyFill="1" applyAlignment="1">
      <alignment horizontal="left" textRotation="90"/>
    </xf>
    <xf numFmtId="0" fontId="0" fillId="3" borderId="0" xfId="0" applyFill="1" applyAlignment="1">
      <alignment horizontal="center" textRotation="90"/>
    </xf>
  </cellXfs>
  <cellStyles count="21">
    <cellStyle name="Comma 2" xfId="20" xr:uid="{00000000-0005-0000-0000-000000000000}"/>
    <cellStyle name="Currency 2" xfId="19" xr:uid="{00000000-0005-0000-0000-000001000000}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Normal" xfId="0" builtinId="0"/>
  </cellStyles>
  <dxfs count="0"/>
  <tableStyles count="0" defaultTableStyle="TableStyleMedium9" defaultPivotStyle="PivotStyleMedium7"/>
  <colors>
    <mruColors>
      <color rgb="FFF8F9FF"/>
      <color rgb="FFEC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hadelite/Library/Containers/com.apple.mail/Data/Library/Mail%20Downloads/5B8C2FC1-D219-4009-ADA1-505F311A19B3/Chris%20Roller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hadelite/Library/Containers/com.apple.mail/Data/Library/Mail%20Downloads/58FFEBC9-408A-4389-88CD-4EECF3EADA29/Shadelite%20order%20-%20Account%20Edithvale%2017@10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hadelite/Library/Containers/com.apple.mail/Data/Library/Mail%20Downloads/10DE241C-6F67-42BA-A844-47A2EB0ED63B/Shadelite%20order%20-%20Account%20Bay%20street%2039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DER SHEET"/>
      <sheetName val="CTRL"/>
      <sheetName val="LABELS"/>
      <sheetName val="Materials"/>
    </sheetNames>
    <sheetDataSet>
      <sheetData sheetId="0"/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DER SHEET"/>
      <sheetName val="Materials"/>
      <sheetName val="LABELS"/>
    </sheetNames>
    <sheetDataSet>
      <sheetData sheetId="0"/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DER SHEET"/>
      <sheetName val="Materials"/>
      <sheetName val="LABELS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T38"/>
  <sheetViews>
    <sheetView showGridLines="0" tabSelected="1" zoomScale="135" zoomScaleNormal="199" workbookViewId="0">
      <pane ySplit="6" topLeftCell="A22" activePane="bottomLeft" state="frozen"/>
      <selection pane="bottomLeft" activeCell="S12" sqref="S12"/>
    </sheetView>
  </sheetViews>
  <sheetFormatPr baseColWidth="10" defaultColWidth="11" defaultRowHeight="16"/>
  <cols>
    <col min="1" max="1" width="11.83203125" customWidth="1"/>
    <col min="2" max="2" width="11.5" customWidth="1"/>
    <col min="3" max="3" width="6" customWidth="1"/>
    <col min="4" max="4" width="3.33203125" customWidth="1"/>
    <col min="5" max="5" width="9" customWidth="1"/>
    <col min="6" max="6" width="5.83203125" customWidth="1"/>
    <col min="7" max="7" width="5.6640625" customWidth="1"/>
    <col min="8" max="8" width="1.83203125" customWidth="1"/>
    <col min="9" max="9" width="11.1640625" customWidth="1"/>
    <col min="10" max="10" width="10.83203125" customWidth="1"/>
    <col min="11" max="11" width="4" customWidth="1"/>
    <col min="12" max="12" width="3.6640625" customWidth="1"/>
    <col min="13" max="13" width="9.83203125" customWidth="1"/>
    <col min="14" max="14" width="7.6640625" customWidth="1"/>
    <col min="15" max="15" width="8.1640625" customWidth="1"/>
    <col min="16" max="16" width="3.1640625" customWidth="1"/>
    <col min="17" max="17" width="3.33203125" customWidth="1"/>
    <col min="18" max="18" width="3" customWidth="1"/>
    <col min="19" max="19" width="16.83203125" customWidth="1"/>
  </cols>
  <sheetData>
    <row r="1" spans="1:20" ht="16" customHeight="1">
      <c r="A1" s="62" t="s">
        <v>0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R1" s="8"/>
      <c r="S1" s="10" t="s">
        <v>20</v>
      </c>
      <c r="T1" s="1"/>
    </row>
    <row r="2" spans="1:20" ht="16" customHeight="1">
      <c r="A2" s="62"/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R2" s="9"/>
      <c r="S2" s="67">
        <v>9</v>
      </c>
      <c r="T2" s="1"/>
    </row>
    <row r="3" spans="1:20" ht="16" customHeight="1">
      <c r="A3" s="34" t="s">
        <v>1</v>
      </c>
      <c r="C3" s="1"/>
      <c r="D3" s="1"/>
      <c r="E3" s="35" t="s">
        <v>2</v>
      </c>
      <c r="M3" s="2"/>
      <c r="N3" s="4" t="s">
        <v>19</v>
      </c>
      <c r="O3" s="65"/>
      <c r="P3" s="66"/>
      <c r="R3" s="9"/>
      <c r="S3" s="68"/>
      <c r="T3" s="1"/>
    </row>
    <row r="4" spans="1:20" ht="16" customHeight="1" thickBot="1">
      <c r="A4" s="35" t="s">
        <v>3</v>
      </c>
      <c r="C4" s="1"/>
      <c r="D4" s="1"/>
      <c r="E4" s="35" t="s">
        <v>4</v>
      </c>
      <c r="M4" s="2"/>
      <c r="N4" s="2"/>
      <c r="O4" s="2"/>
      <c r="P4" s="2"/>
      <c r="Q4" s="2"/>
      <c r="R4" s="2"/>
      <c r="S4" s="1"/>
      <c r="T4" s="1"/>
    </row>
    <row r="5" spans="1:20" ht="16" customHeight="1">
      <c r="A5" s="63" t="s">
        <v>5</v>
      </c>
      <c r="B5" s="69" t="s">
        <v>22</v>
      </c>
      <c r="C5" s="71" t="s">
        <v>121</v>
      </c>
      <c r="D5" s="12"/>
      <c r="E5" s="12"/>
      <c r="F5" s="12"/>
      <c r="G5" s="12"/>
      <c r="H5" s="12"/>
      <c r="I5" s="75" t="s">
        <v>9</v>
      </c>
      <c r="J5" s="76"/>
      <c r="K5" s="32"/>
      <c r="L5" s="13"/>
      <c r="M5" s="12"/>
      <c r="N5" s="73" t="s">
        <v>23</v>
      </c>
      <c r="O5" s="13" t="s">
        <v>18</v>
      </c>
      <c r="P5" s="13" t="s">
        <v>11</v>
      </c>
      <c r="Q5" s="14"/>
      <c r="R5" s="12"/>
      <c r="S5" s="15" t="s">
        <v>10</v>
      </c>
    </row>
    <row r="6" spans="1:20" ht="17" thickBot="1">
      <c r="A6" s="64"/>
      <c r="B6" s="70"/>
      <c r="C6" s="72"/>
      <c r="D6" s="16"/>
      <c r="E6" s="17" t="s">
        <v>6</v>
      </c>
      <c r="F6" s="17" t="s">
        <v>7</v>
      </c>
      <c r="G6" s="17" t="s">
        <v>8</v>
      </c>
      <c r="H6" s="17"/>
      <c r="I6" s="18" t="s">
        <v>119</v>
      </c>
      <c r="J6" s="18" t="s">
        <v>120</v>
      </c>
      <c r="K6" s="33" t="s">
        <v>117</v>
      </c>
      <c r="L6" s="19" t="s">
        <v>16</v>
      </c>
      <c r="M6" s="18" t="s">
        <v>118</v>
      </c>
      <c r="N6" s="74"/>
      <c r="O6" s="19" t="s">
        <v>17</v>
      </c>
      <c r="P6" s="19" t="s">
        <v>12</v>
      </c>
      <c r="Q6" s="16" t="s">
        <v>14</v>
      </c>
      <c r="R6" s="16" t="s">
        <v>13</v>
      </c>
      <c r="S6" s="20" t="s">
        <v>15</v>
      </c>
    </row>
    <row r="7" spans="1:20" ht="17" customHeight="1">
      <c r="A7" s="3" t="s">
        <v>184</v>
      </c>
      <c r="B7" s="3" t="s">
        <v>185</v>
      </c>
      <c r="C7" s="38" t="s">
        <v>218</v>
      </c>
      <c r="D7" s="3"/>
      <c r="E7" s="3" t="s">
        <v>186</v>
      </c>
      <c r="F7" s="31">
        <v>824</v>
      </c>
      <c r="G7" s="31">
        <v>1800</v>
      </c>
      <c r="H7" s="3"/>
      <c r="I7" s="61" t="s">
        <v>209</v>
      </c>
      <c r="J7" s="36" t="s">
        <v>210</v>
      </c>
      <c r="K7" s="7" t="s">
        <v>117</v>
      </c>
      <c r="L7" s="5"/>
      <c r="M7" s="5" t="s">
        <v>212</v>
      </c>
      <c r="N7" s="5" t="s">
        <v>214</v>
      </c>
      <c r="O7" s="5">
        <v>750</v>
      </c>
      <c r="P7" s="5" t="s">
        <v>187</v>
      </c>
      <c r="Q7" s="5" t="s">
        <v>188</v>
      </c>
      <c r="R7" s="5">
        <v>1</v>
      </c>
      <c r="S7" s="51" t="s">
        <v>242</v>
      </c>
    </row>
    <row r="8" spans="1:20" ht="17" customHeight="1">
      <c r="A8" s="3" t="s">
        <v>184</v>
      </c>
      <c r="B8" s="3" t="s">
        <v>185</v>
      </c>
      <c r="C8" s="38" t="s">
        <v>219</v>
      </c>
      <c r="D8" s="3"/>
      <c r="E8" s="3" t="s">
        <v>189</v>
      </c>
      <c r="F8" s="31">
        <v>824</v>
      </c>
      <c r="G8" s="31">
        <v>1800</v>
      </c>
      <c r="H8" s="3"/>
      <c r="I8" s="61" t="s">
        <v>209</v>
      </c>
      <c r="J8" s="36" t="s">
        <v>210</v>
      </c>
      <c r="K8" s="7" t="s">
        <v>117</v>
      </c>
      <c r="L8" s="5"/>
      <c r="M8" s="5" t="s">
        <v>212</v>
      </c>
      <c r="N8" s="5" t="s">
        <v>214</v>
      </c>
      <c r="O8" s="5">
        <v>750</v>
      </c>
      <c r="P8" s="5" t="s">
        <v>187</v>
      </c>
      <c r="Q8" s="5" t="s">
        <v>188</v>
      </c>
      <c r="R8" s="5">
        <v>1</v>
      </c>
      <c r="S8" s="3"/>
    </row>
    <row r="9" spans="1:20" ht="17" customHeight="1">
      <c r="A9" s="3" t="s">
        <v>184</v>
      </c>
      <c r="B9" s="3" t="s">
        <v>185</v>
      </c>
      <c r="C9" s="38" t="s">
        <v>220</v>
      </c>
      <c r="D9" s="3"/>
      <c r="E9" s="3" t="s">
        <v>190</v>
      </c>
      <c r="F9" s="31">
        <v>822</v>
      </c>
      <c r="G9" s="31">
        <v>1800</v>
      </c>
      <c r="H9" s="3"/>
      <c r="I9" s="61" t="s">
        <v>209</v>
      </c>
      <c r="J9" s="36" t="s">
        <v>210</v>
      </c>
      <c r="K9" s="7" t="s">
        <v>117</v>
      </c>
      <c r="L9" s="5"/>
      <c r="M9" s="5" t="s">
        <v>212</v>
      </c>
      <c r="N9" s="5" t="s">
        <v>214</v>
      </c>
      <c r="O9" s="5">
        <v>750</v>
      </c>
      <c r="P9" s="5" t="s">
        <v>191</v>
      </c>
      <c r="Q9" s="5" t="s">
        <v>188</v>
      </c>
      <c r="R9" s="5">
        <v>1</v>
      </c>
      <c r="S9" s="3"/>
    </row>
    <row r="10" spans="1:20" ht="17" customHeight="1">
      <c r="A10" s="3" t="s">
        <v>184</v>
      </c>
      <c r="B10" s="3" t="s">
        <v>185</v>
      </c>
      <c r="C10" s="38" t="s">
        <v>221</v>
      </c>
      <c r="D10" s="3"/>
      <c r="E10" s="3" t="s">
        <v>192</v>
      </c>
      <c r="F10" s="31">
        <v>1794</v>
      </c>
      <c r="G10" s="31">
        <v>2100</v>
      </c>
      <c r="H10" s="3"/>
      <c r="I10" s="61" t="s">
        <v>209</v>
      </c>
      <c r="J10" s="36" t="s">
        <v>210</v>
      </c>
      <c r="K10" s="7" t="s">
        <v>117</v>
      </c>
      <c r="L10" s="5" t="s">
        <v>213</v>
      </c>
      <c r="M10" s="5" t="s">
        <v>212</v>
      </c>
      <c r="N10" s="5" t="s">
        <v>215</v>
      </c>
      <c r="O10" s="36" t="s">
        <v>216</v>
      </c>
      <c r="P10" s="5" t="s">
        <v>187</v>
      </c>
      <c r="Q10" s="5" t="s">
        <v>188</v>
      </c>
      <c r="R10" s="5">
        <v>1</v>
      </c>
      <c r="S10" s="3" t="s">
        <v>193</v>
      </c>
    </row>
    <row r="11" spans="1:20" ht="17" customHeight="1">
      <c r="A11" s="3" t="s">
        <v>184</v>
      </c>
      <c r="B11" s="3" t="s">
        <v>185</v>
      </c>
      <c r="C11" s="38" t="s">
        <v>222</v>
      </c>
      <c r="D11" s="3"/>
      <c r="E11" s="3" t="s">
        <v>194</v>
      </c>
      <c r="F11" s="31">
        <v>1572</v>
      </c>
      <c r="G11" s="31">
        <v>1000</v>
      </c>
      <c r="H11" s="3"/>
      <c r="I11" s="61" t="s">
        <v>209</v>
      </c>
      <c r="J11" s="36" t="s">
        <v>210</v>
      </c>
      <c r="K11" s="7" t="s">
        <v>117</v>
      </c>
      <c r="L11" s="5" t="s">
        <v>213</v>
      </c>
      <c r="M11" s="5" t="s">
        <v>212</v>
      </c>
      <c r="N11" s="5" t="s">
        <v>215</v>
      </c>
      <c r="O11" s="36" t="s">
        <v>216</v>
      </c>
      <c r="P11" s="5" t="s">
        <v>187</v>
      </c>
      <c r="Q11" s="5" t="s">
        <v>188</v>
      </c>
      <c r="R11" s="5">
        <v>1</v>
      </c>
      <c r="S11" s="3" t="s">
        <v>193</v>
      </c>
    </row>
    <row r="12" spans="1:20" ht="17" customHeight="1">
      <c r="A12" s="3" t="s">
        <v>184</v>
      </c>
      <c r="B12" s="3" t="s">
        <v>185</v>
      </c>
      <c r="C12" s="38" t="s">
        <v>223</v>
      </c>
      <c r="D12" s="3"/>
      <c r="E12" s="3" t="s">
        <v>195</v>
      </c>
      <c r="F12" s="31">
        <v>811</v>
      </c>
      <c r="G12" s="31">
        <v>1000</v>
      </c>
      <c r="H12" s="3"/>
      <c r="I12" s="61" t="s">
        <v>209</v>
      </c>
      <c r="J12" s="36" t="s">
        <v>210</v>
      </c>
      <c r="K12" s="7" t="s">
        <v>117</v>
      </c>
      <c r="L12" s="5"/>
      <c r="M12" s="5" t="s">
        <v>212</v>
      </c>
      <c r="N12" s="5" t="s">
        <v>214</v>
      </c>
      <c r="O12" s="5">
        <v>750</v>
      </c>
      <c r="P12" s="5" t="s">
        <v>187</v>
      </c>
      <c r="Q12" s="5" t="s">
        <v>188</v>
      </c>
      <c r="R12" s="5">
        <v>1</v>
      </c>
      <c r="S12" s="3"/>
    </row>
    <row r="13" spans="1:20" ht="17" customHeight="1">
      <c r="A13" s="3" t="s">
        <v>184</v>
      </c>
      <c r="B13" s="3" t="s">
        <v>185</v>
      </c>
      <c r="C13" s="38" t="s">
        <v>224</v>
      </c>
      <c r="D13" s="3"/>
      <c r="E13" s="3" t="s">
        <v>196</v>
      </c>
      <c r="F13" s="31">
        <v>811</v>
      </c>
      <c r="G13" s="31">
        <v>1000</v>
      </c>
      <c r="H13" s="3"/>
      <c r="I13" s="61" t="s">
        <v>209</v>
      </c>
      <c r="J13" s="36" t="s">
        <v>210</v>
      </c>
      <c r="K13" s="7" t="s">
        <v>117</v>
      </c>
      <c r="L13" s="5"/>
      <c r="M13" s="5" t="s">
        <v>212</v>
      </c>
      <c r="N13" s="5" t="s">
        <v>214</v>
      </c>
      <c r="O13" s="5">
        <v>750</v>
      </c>
      <c r="P13" s="5" t="s">
        <v>191</v>
      </c>
      <c r="Q13" s="5" t="s">
        <v>188</v>
      </c>
      <c r="R13" s="5">
        <v>1</v>
      </c>
      <c r="S13" s="3"/>
    </row>
    <row r="14" spans="1:20" ht="17" customHeight="1">
      <c r="A14" s="3" t="s">
        <v>184</v>
      </c>
      <c r="B14" s="3" t="s">
        <v>185</v>
      </c>
      <c r="C14" s="38" t="s">
        <v>225</v>
      </c>
      <c r="D14" s="3"/>
      <c r="E14" s="3" t="s">
        <v>197</v>
      </c>
      <c r="F14" s="31">
        <v>1762</v>
      </c>
      <c r="G14" s="31">
        <v>1200</v>
      </c>
      <c r="H14" s="3"/>
      <c r="I14" s="61" t="s">
        <v>209</v>
      </c>
      <c r="J14" s="36" t="s">
        <v>210</v>
      </c>
      <c r="K14" s="7" t="s">
        <v>117</v>
      </c>
      <c r="L14" s="5"/>
      <c r="M14" s="5" t="s">
        <v>212</v>
      </c>
      <c r="N14" s="5" t="s">
        <v>214</v>
      </c>
      <c r="O14" s="5">
        <v>750</v>
      </c>
      <c r="P14" s="5" t="s">
        <v>187</v>
      </c>
      <c r="Q14" s="5" t="s">
        <v>188</v>
      </c>
      <c r="R14" s="5">
        <v>1</v>
      </c>
      <c r="S14" s="3"/>
    </row>
    <row r="15" spans="1:20" ht="17" customHeight="1">
      <c r="A15" s="3" t="s">
        <v>184</v>
      </c>
      <c r="B15" s="3" t="s">
        <v>185</v>
      </c>
      <c r="C15" s="38" t="s">
        <v>226</v>
      </c>
      <c r="D15" s="3"/>
      <c r="E15" s="3" t="s">
        <v>198</v>
      </c>
      <c r="F15" s="31">
        <v>975</v>
      </c>
      <c r="G15" s="31">
        <v>1800</v>
      </c>
      <c r="H15" s="3"/>
      <c r="I15" s="6" t="s">
        <v>211</v>
      </c>
      <c r="J15" s="36" t="s">
        <v>199</v>
      </c>
      <c r="K15" s="7" t="s">
        <v>117</v>
      </c>
      <c r="L15" s="5"/>
      <c r="M15" s="5" t="s">
        <v>212</v>
      </c>
      <c r="N15" s="5" t="s">
        <v>214</v>
      </c>
      <c r="O15" s="5">
        <v>750</v>
      </c>
      <c r="P15" s="5" t="s">
        <v>187</v>
      </c>
      <c r="Q15" s="5" t="s">
        <v>188</v>
      </c>
      <c r="R15" s="5">
        <v>1</v>
      </c>
      <c r="S15" s="3" t="s">
        <v>241</v>
      </c>
    </row>
    <row r="16" spans="1:20" ht="17" customHeight="1">
      <c r="A16" s="3" t="s">
        <v>184</v>
      </c>
      <c r="B16" s="3" t="s">
        <v>185</v>
      </c>
      <c r="C16" s="38" t="s">
        <v>227</v>
      </c>
      <c r="D16" s="3"/>
      <c r="E16" s="3" t="s">
        <v>200</v>
      </c>
      <c r="F16" s="31">
        <v>975</v>
      </c>
      <c r="G16" s="31">
        <v>1800</v>
      </c>
      <c r="H16" s="3"/>
      <c r="I16" s="6" t="s">
        <v>211</v>
      </c>
      <c r="J16" s="36" t="s">
        <v>199</v>
      </c>
      <c r="K16" s="7" t="s">
        <v>117</v>
      </c>
      <c r="L16" s="5"/>
      <c r="M16" s="5" t="s">
        <v>212</v>
      </c>
      <c r="N16" s="5" t="s">
        <v>214</v>
      </c>
      <c r="O16" s="5">
        <v>750</v>
      </c>
      <c r="P16" s="5" t="s">
        <v>187</v>
      </c>
      <c r="Q16" s="5" t="s">
        <v>188</v>
      </c>
      <c r="R16" s="5">
        <v>1</v>
      </c>
      <c r="S16" s="3"/>
    </row>
    <row r="17" spans="1:19" ht="17" customHeight="1">
      <c r="A17" s="3" t="s">
        <v>184</v>
      </c>
      <c r="B17" s="3" t="s">
        <v>185</v>
      </c>
      <c r="C17" s="38" t="s">
        <v>228</v>
      </c>
      <c r="D17" s="3"/>
      <c r="E17" s="3" t="s">
        <v>201</v>
      </c>
      <c r="F17" s="31">
        <v>967</v>
      </c>
      <c r="G17" s="31">
        <v>1800</v>
      </c>
      <c r="H17" s="3"/>
      <c r="I17" s="6" t="s">
        <v>211</v>
      </c>
      <c r="J17" s="36" t="s">
        <v>199</v>
      </c>
      <c r="K17" s="7" t="s">
        <v>117</v>
      </c>
      <c r="L17" s="5"/>
      <c r="M17" s="5" t="s">
        <v>212</v>
      </c>
      <c r="N17" s="5" t="s">
        <v>214</v>
      </c>
      <c r="O17" s="5">
        <v>750</v>
      </c>
      <c r="P17" s="5" t="s">
        <v>202</v>
      </c>
      <c r="Q17" s="5" t="s">
        <v>188</v>
      </c>
      <c r="R17" s="5">
        <v>1</v>
      </c>
      <c r="S17" s="3"/>
    </row>
    <row r="18" spans="1:19" ht="17" customHeight="1">
      <c r="A18" s="3" t="s">
        <v>184</v>
      </c>
      <c r="B18" s="3" t="s">
        <v>185</v>
      </c>
      <c r="C18" s="38" t="s">
        <v>229</v>
      </c>
      <c r="D18" s="3"/>
      <c r="E18" s="3" t="s">
        <v>203</v>
      </c>
      <c r="F18" s="31">
        <v>1794</v>
      </c>
      <c r="G18" s="31">
        <v>2100</v>
      </c>
      <c r="H18" s="3"/>
      <c r="I18" s="6" t="s">
        <v>211</v>
      </c>
      <c r="J18" s="36" t="s">
        <v>199</v>
      </c>
      <c r="K18" s="7" t="s">
        <v>117</v>
      </c>
      <c r="L18" s="5"/>
      <c r="M18" s="5" t="s">
        <v>212</v>
      </c>
      <c r="N18" s="5" t="s">
        <v>215</v>
      </c>
      <c r="O18" s="36" t="s">
        <v>216</v>
      </c>
      <c r="P18" s="5" t="s">
        <v>187</v>
      </c>
      <c r="Q18" s="5" t="s">
        <v>188</v>
      </c>
      <c r="R18" s="5">
        <v>1</v>
      </c>
      <c r="S18" s="3"/>
    </row>
    <row r="19" spans="1:19" ht="17" customHeight="1">
      <c r="A19" s="3" t="s">
        <v>184</v>
      </c>
      <c r="B19" s="3" t="s">
        <v>185</v>
      </c>
      <c r="C19" s="38" t="s">
        <v>230</v>
      </c>
      <c r="D19" s="3"/>
      <c r="E19" s="3" t="s">
        <v>194</v>
      </c>
      <c r="F19" s="31">
        <v>1572</v>
      </c>
      <c r="G19" s="31">
        <v>1000</v>
      </c>
      <c r="H19" s="3"/>
      <c r="I19" s="6" t="s">
        <v>211</v>
      </c>
      <c r="J19" s="36" t="s">
        <v>199</v>
      </c>
      <c r="K19" s="7" t="s">
        <v>117</v>
      </c>
      <c r="L19" s="5"/>
      <c r="M19" s="5" t="s">
        <v>212</v>
      </c>
      <c r="N19" s="5" t="s">
        <v>215</v>
      </c>
      <c r="O19" s="36" t="s">
        <v>216</v>
      </c>
      <c r="P19" s="5" t="s">
        <v>187</v>
      </c>
      <c r="Q19" s="5" t="s">
        <v>188</v>
      </c>
      <c r="R19" s="5">
        <v>1</v>
      </c>
      <c r="S19" s="3"/>
    </row>
    <row r="20" spans="1:19" ht="17" customHeight="1">
      <c r="A20" s="3" t="s">
        <v>184</v>
      </c>
      <c r="B20" s="3" t="s">
        <v>185</v>
      </c>
      <c r="C20" s="38" t="s">
        <v>231</v>
      </c>
      <c r="D20" s="3"/>
      <c r="E20" s="3" t="s">
        <v>204</v>
      </c>
      <c r="F20" s="31">
        <v>1786</v>
      </c>
      <c r="G20" s="31">
        <v>1000</v>
      </c>
      <c r="H20" s="3"/>
      <c r="I20" s="6" t="s">
        <v>211</v>
      </c>
      <c r="J20" s="36" t="s">
        <v>199</v>
      </c>
      <c r="K20" s="7" t="s">
        <v>117</v>
      </c>
      <c r="L20" s="5"/>
      <c r="M20" s="5" t="s">
        <v>212</v>
      </c>
      <c r="N20" s="5" t="s">
        <v>214</v>
      </c>
      <c r="O20" s="5">
        <v>750</v>
      </c>
      <c r="P20" s="5" t="s">
        <v>187</v>
      </c>
      <c r="Q20" s="5" t="s">
        <v>188</v>
      </c>
      <c r="R20" s="5">
        <v>1</v>
      </c>
      <c r="S20" s="3"/>
    </row>
    <row r="21" spans="1:19" ht="17" customHeight="1">
      <c r="A21" s="3" t="s">
        <v>184</v>
      </c>
      <c r="B21" s="3" t="s">
        <v>185</v>
      </c>
      <c r="C21" s="38" t="s">
        <v>232</v>
      </c>
      <c r="D21" s="3"/>
      <c r="E21" s="3" t="s">
        <v>205</v>
      </c>
      <c r="F21" s="31">
        <v>960</v>
      </c>
      <c r="G21" s="31">
        <v>1000</v>
      </c>
      <c r="H21" s="3"/>
      <c r="I21" s="6" t="s">
        <v>211</v>
      </c>
      <c r="J21" s="36" t="s">
        <v>199</v>
      </c>
      <c r="K21" s="7" t="s">
        <v>117</v>
      </c>
      <c r="L21" s="5"/>
      <c r="M21" s="5" t="s">
        <v>212</v>
      </c>
      <c r="N21" s="5" t="s">
        <v>214</v>
      </c>
      <c r="O21" s="5">
        <v>750</v>
      </c>
      <c r="P21" s="5" t="s">
        <v>187</v>
      </c>
      <c r="Q21" s="5" t="s">
        <v>188</v>
      </c>
      <c r="R21" s="5">
        <v>1</v>
      </c>
      <c r="S21" s="3"/>
    </row>
    <row r="22" spans="1:19" ht="17" customHeight="1">
      <c r="A22" s="3" t="s">
        <v>184</v>
      </c>
      <c r="B22" s="3" t="s">
        <v>185</v>
      </c>
      <c r="C22" s="38" t="s">
        <v>233</v>
      </c>
      <c r="D22" s="3"/>
      <c r="E22" s="3" t="s">
        <v>206</v>
      </c>
      <c r="F22" s="31">
        <v>958</v>
      </c>
      <c r="G22" s="31">
        <v>1000</v>
      </c>
      <c r="H22" s="3"/>
      <c r="I22" s="6" t="s">
        <v>211</v>
      </c>
      <c r="J22" s="36" t="s">
        <v>199</v>
      </c>
      <c r="K22" s="7" t="s">
        <v>117</v>
      </c>
      <c r="L22" s="5"/>
      <c r="M22" s="5" t="s">
        <v>212</v>
      </c>
      <c r="N22" s="5" t="s">
        <v>214</v>
      </c>
      <c r="O22" s="5">
        <v>750</v>
      </c>
      <c r="P22" s="5" t="s">
        <v>202</v>
      </c>
      <c r="Q22" s="5" t="s">
        <v>188</v>
      </c>
      <c r="R22" s="5">
        <v>1</v>
      </c>
      <c r="S22" s="3"/>
    </row>
    <row r="23" spans="1:19" ht="17" customHeight="1">
      <c r="A23" s="3" t="s">
        <v>184</v>
      </c>
      <c r="B23" s="3" t="s">
        <v>185</v>
      </c>
      <c r="C23" s="38" t="s">
        <v>234</v>
      </c>
      <c r="D23" s="3"/>
      <c r="E23" s="3" t="s">
        <v>207</v>
      </c>
      <c r="F23" s="31">
        <v>1910</v>
      </c>
      <c r="G23" s="31">
        <v>1200</v>
      </c>
      <c r="H23" s="3"/>
      <c r="I23" s="6" t="s">
        <v>211</v>
      </c>
      <c r="J23" s="36" t="s">
        <v>199</v>
      </c>
      <c r="K23" s="7" t="s">
        <v>117</v>
      </c>
      <c r="L23" s="5"/>
      <c r="M23" s="5" t="s">
        <v>212</v>
      </c>
      <c r="N23" s="5" t="s">
        <v>214</v>
      </c>
      <c r="O23" s="5">
        <v>750</v>
      </c>
      <c r="P23" s="5" t="s">
        <v>187</v>
      </c>
      <c r="Q23" s="5" t="s">
        <v>188</v>
      </c>
      <c r="R23" s="5">
        <v>1</v>
      </c>
      <c r="S23" s="3"/>
    </row>
    <row r="24" spans="1:19" ht="17" customHeight="1">
      <c r="A24" s="3" t="s">
        <v>184</v>
      </c>
      <c r="B24" s="3" t="s">
        <v>185</v>
      </c>
      <c r="C24" s="38" t="s">
        <v>235</v>
      </c>
      <c r="D24" s="3"/>
      <c r="E24" s="3" t="s">
        <v>208</v>
      </c>
      <c r="F24" s="31">
        <v>397</v>
      </c>
      <c r="G24" s="31">
        <v>2100</v>
      </c>
      <c r="H24" s="3"/>
      <c r="I24" s="6" t="s">
        <v>211</v>
      </c>
      <c r="J24" s="36" t="s">
        <v>199</v>
      </c>
      <c r="K24" s="7" t="s">
        <v>117</v>
      </c>
      <c r="L24" s="5"/>
      <c r="M24" s="5" t="s">
        <v>212</v>
      </c>
      <c r="N24" s="5" t="s">
        <v>214</v>
      </c>
      <c r="O24" s="5">
        <v>750</v>
      </c>
      <c r="P24" s="5" t="s">
        <v>202</v>
      </c>
      <c r="Q24" s="5" t="s">
        <v>188</v>
      </c>
      <c r="R24" s="5">
        <v>1</v>
      </c>
      <c r="S24" s="3"/>
    </row>
    <row r="25" spans="1:19" ht="17" customHeight="1">
      <c r="A25" s="3" t="s">
        <v>184</v>
      </c>
      <c r="B25" s="3" t="s">
        <v>185</v>
      </c>
      <c r="C25" s="38"/>
      <c r="D25" s="3"/>
      <c r="E25" s="3"/>
      <c r="F25" s="31"/>
      <c r="G25" s="31"/>
      <c r="H25" s="3"/>
      <c r="I25" s="6" t="s">
        <v>217</v>
      </c>
      <c r="J25" s="36"/>
      <c r="K25" s="7"/>
      <c r="L25" s="5"/>
      <c r="M25" s="5"/>
      <c r="N25" s="5"/>
      <c r="O25" s="5"/>
      <c r="P25" s="5"/>
      <c r="Q25" s="5"/>
      <c r="R25" s="5"/>
      <c r="S25" s="3"/>
    </row>
    <row r="26" spans="1:19" ht="17" customHeight="1">
      <c r="A26" s="3" t="s">
        <v>184</v>
      </c>
      <c r="B26" s="3" t="s">
        <v>185</v>
      </c>
      <c r="C26" s="38"/>
      <c r="D26" s="3"/>
      <c r="E26" s="3"/>
      <c r="F26" s="31"/>
      <c r="G26" s="31"/>
      <c r="H26" s="3"/>
      <c r="I26" s="6" t="s">
        <v>236</v>
      </c>
      <c r="J26" s="36"/>
      <c r="K26" s="7"/>
      <c r="L26" s="5"/>
      <c r="M26" s="5"/>
      <c r="N26" s="5"/>
      <c r="O26" s="5"/>
      <c r="P26" s="5"/>
      <c r="Q26" s="5"/>
      <c r="R26" s="5"/>
      <c r="S26" s="3"/>
    </row>
    <row r="27" spans="1:19" ht="17" customHeight="1">
      <c r="A27" s="52" t="s">
        <v>184</v>
      </c>
      <c r="B27" s="52" t="s">
        <v>237</v>
      </c>
      <c r="C27" s="53" t="s">
        <v>239</v>
      </c>
      <c r="D27" s="52"/>
      <c r="E27" s="52" t="s">
        <v>238</v>
      </c>
      <c r="F27" s="54">
        <v>2407</v>
      </c>
      <c r="G27" s="54">
        <v>2100</v>
      </c>
      <c r="H27" s="52"/>
      <c r="I27" s="55" t="s">
        <v>211</v>
      </c>
      <c r="J27" s="56" t="s">
        <v>240</v>
      </c>
      <c r="K27" s="57" t="s">
        <v>117</v>
      </c>
      <c r="L27" s="58" t="s">
        <v>213</v>
      </c>
      <c r="M27" s="58" t="s">
        <v>215</v>
      </c>
      <c r="N27" s="58" t="s">
        <v>214</v>
      </c>
      <c r="O27" s="58">
        <v>1000</v>
      </c>
      <c r="P27" s="58" t="s">
        <v>202</v>
      </c>
      <c r="Q27" s="58" t="s">
        <v>188</v>
      </c>
      <c r="R27" s="58">
        <v>1</v>
      </c>
      <c r="S27" s="3" t="s">
        <v>241</v>
      </c>
    </row>
    <row r="28" spans="1:19" ht="17" customHeight="1">
      <c r="A28" s="3" t="s">
        <v>243</v>
      </c>
      <c r="B28" s="3" t="s">
        <v>244</v>
      </c>
      <c r="C28" s="59" t="s">
        <v>239</v>
      </c>
      <c r="D28" s="3"/>
      <c r="E28" s="3" t="s">
        <v>245</v>
      </c>
      <c r="F28" s="31">
        <v>1448</v>
      </c>
      <c r="G28" s="31">
        <v>1500</v>
      </c>
      <c r="H28" s="3"/>
      <c r="I28" s="6" t="s">
        <v>211</v>
      </c>
      <c r="J28" s="7" t="s">
        <v>246</v>
      </c>
      <c r="K28" s="7" t="s">
        <v>117</v>
      </c>
      <c r="L28" s="5"/>
      <c r="M28" s="5" t="s">
        <v>212</v>
      </c>
      <c r="N28" s="5" t="s">
        <v>214</v>
      </c>
      <c r="O28" s="5">
        <v>1250</v>
      </c>
      <c r="P28" s="5" t="s">
        <v>202</v>
      </c>
      <c r="Q28" s="5" t="s">
        <v>188</v>
      </c>
      <c r="R28" s="5">
        <v>1</v>
      </c>
      <c r="S28" s="51" t="s">
        <v>241</v>
      </c>
    </row>
    <row r="29" spans="1:19" ht="17" customHeight="1">
      <c r="A29" s="3" t="s">
        <v>243</v>
      </c>
      <c r="B29" s="3" t="s">
        <v>247</v>
      </c>
      <c r="C29" s="59" t="s">
        <v>252</v>
      </c>
      <c r="D29" s="3"/>
      <c r="E29" s="3" t="s">
        <v>248</v>
      </c>
      <c r="F29" s="31">
        <v>1673</v>
      </c>
      <c r="G29" s="31">
        <v>2400</v>
      </c>
      <c r="H29" s="3"/>
      <c r="I29" s="61" t="s">
        <v>209</v>
      </c>
      <c r="J29" s="7" t="s">
        <v>215</v>
      </c>
      <c r="K29" s="7" t="s">
        <v>117</v>
      </c>
      <c r="L29" s="5"/>
      <c r="M29" s="5" t="s">
        <v>212</v>
      </c>
      <c r="N29" s="5" t="s">
        <v>214</v>
      </c>
      <c r="O29" s="5">
        <v>1500</v>
      </c>
      <c r="P29" s="5" t="s">
        <v>202</v>
      </c>
      <c r="Q29" s="5" t="s">
        <v>188</v>
      </c>
      <c r="R29" s="5">
        <v>1</v>
      </c>
      <c r="S29" s="51" t="s">
        <v>242</v>
      </c>
    </row>
    <row r="30" spans="1:19" ht="17" customHeight="1">
      <c r="A30" s="3" t="s">
        <v>243</v>
      </c>
      <c r="B30" s="3" t="s">
        <v>247</v>
      </c>
      <c r="C30" s="59" t="s">
        <v>253</v>
      </c>
      <c r="D30" s="3"/>
      <c r="E30" s="3" t="s">
        <v>248</v>
      </c>
      <c r="F30" s="31">
        <v>1673</v>
      </c>
      <c r="G30" s="31">
        <v>2400</v>
      </c>
      <c r="H30" s="3"/>
      <c r="I30" s="61" t="s">
        <v>209</v>
      </c>
      <c r="J30" s="7" t="s">
        <v>215</v>
      </c>
      <c r="K30" s="7" t="s">
        <v>117</v>
      </c>
      <c r="L30" s="5"/>
      <c r="M30" s="5" t="s">
        <v>212</v>
      </c>
      <c r="N30" s="5" t="s">
        <v>214</v>
      </c>
      <c r="O30" s="5">
        <v>1500</v>
      </c>
      <c r="P30" s="5" t="s">
        <v>187</v>
      </c>
      <c r="Q30" s="5" t="s">
        <v>188</v>
      </c>
      <c r="R30" s="5">
        <v>1</v>
      </c>
      <c r="S30" s="3"/>
    </row>
    <row r="31" spans="1:19" ht="17" customHeight="1">
      <c r="A31" s="3" t="s">
        <v>243</v>
      </c>
      <c r="B31" s="3" t="s">
        <v>247</v>
      </c>
      <c r="C31" s="59" t="s">
        <v>254</v>
      </c>
      <c r="D31" s="3"/>
      <c r="E31" s="3" t="s">
        <v>249</v>
      </c>
      <c r="F31" s="31">
        <v>1670</v>
      </c>
      <c r="G31" s="31">
        <v>2400</v>
      </c>
      <c r="H31" s="3"/>
      <c r="I31" s="61" t="s">
        <v>209</v>
      </c>
      <c r="J31" s="7" t="s">
        <v>215</v>
      </c>
      <c r="K31" s="7" t="s">
        <v>117</v>
      </c>
      <c r="L31" s="5"/>
      <c r="M31" s="5" t="s">
        <v>212</v>
      </c>
      <c r="N31" s="5" t="s">
        <v>214</v>
      </c>
      <c r="O31" s="5">
        <v>1500</v>
      </c>
      <c r="P31" s="5" t="s">
        <v>202</v>
      </c>
      <c r="Q31" s="5" t="s">
        <v>188</v>
      </c>
      <c r="R31" s="5">
        <v>1</v>
      </c>
      <c r="S31" s="3"/>
    </row>
    <row r="32" spans="1:19" ht="17" customHeight="1">
      <c r="A32" s="3" t="s">
        <v>243</v>
      </c>
      <c r="B32" s="3" t="s">
        <v>247</v>
      </c>
      <c r="C32" s="59" t="s">
        <v>255</v>
      </c>
      <c r="D32" s="3"/>
      <c r="E32" s="3" t="s">
        <v>249</v>
      </c>
      <c r="F32" s="31">
        <v>1670</v>
      </c>
      <c r="G32" s="31">
        <v>2400</v>
      </c>
      <c r="H32" s="3"/>
      <c r="I32" s="61" t="s">
        <v>209</v>
      </c>
      <c r="J32" s="7" t="s">
        <v>215</v>
      </c>
      <c r="K32" s="7" t="s">
        <v>117</v>
      </c>
      <c r="L32" s="5"/>
      <c r="M32" s="5" t="s">
        <v>212</v>
      </c>
      <c r="N32" s="5" t="s">
        <v>214</v>
      </c>
      <c r="O32" s="5">
        <v>1500</v>
      </c>
      <c r="P32" s="5" t="s">
        <v>187</v>
      </c>
      <c r="Q32" s="5" t="s">
        <v>188</v>
      </c>
      <c r="R32" s="5">
        <v>1</v>
      </c>
      <c r="S32" s="60"/>
    </row>
    <row r="33" spans="1:19" ht="17" customHeight="1">
      <c r="A33" s="3" t="s">
        <v>243</v>
      </c>
      <c r="B33" s="3" t="s">
        <v>247</v>
      </c>
      <c r="C33" s="59" t="s">
        <v>256</v>
      </c>
      <c r="D33" s="3"/>
      <c r="E33" s="3" t="s">
        <v>250</v>
      </c>
      <c r="F33" s="31">
        <v>1915</v>
      </c>
      <c r="G33" s="31">
        <v>2400</v>
      </c>
      <c r="H33" s="3"/>
      <c r="I33" s="6" t="s">
        <v>211</v>
      </c>
      <c r="J33" s="7" t="s">
        <v>246</v>
      </c>
      <c r="K33" s="7" t="s">
        <v>117</v>
      </c>
      <c r="L33" s="5"/>
      <c r="M33" s="5" t="s">
        <v>212</v>
      </c>
      <c r="N33" s="5" t="s">
        <v>214</v>
      </c>
      <c r="O33" s="5">
        <v>1500</v>
      </c>
      <c r="P33" s="5" t="s">
        <v>202</v>
      </c>
      <c r="Q33" s="5" t="s">
        <v>188</v>
      </c>
      <c r="R33" s="5">
        <v>1</v>
      </c>
      <c r="S33" s="60" t="s">
        <v>241</v>
      </c>
    </row>
    <row r="34" spans="1:19" ht="17" customHeight="1">
      <c r="A34" s="3" t="s">
        <v>243</v>
      </c>
      <c r="B34" s="3" t="s">
        <v>247</v>
      </c>
      <c r="C34" s="59" t="s">
        <v>257</v>
      </c>
      <c r="D34" s="3"/>
      <c r="E34" s="3" t="s">
        <v>251</v>
      </c>
      <c r="F34" s="31">
        <v>1020</v>
      </c>
      <c r="G34" s="31">
        <v>2400</v>
      </c>
      <c r="H34" s="3"/>
      <c r="I34" s="6" t="s">
        <v>211</v>
      </c>
      <c r="J34" s="7" t="s">
        <v>246</v>
      </c>
      <c r="K34" s="7" t="s">
        <v>117</v>
      </c>
      <c r="L34" s="5"/>
      <c r="M34" s="5" t="s">
        <v>212</v>
      </c>
      <c r="N34" s="5" t="s">
        <v>214</v>
      </c>
      <c r="O34" s="5">
        <v>1500</v>
      </c>
      <c r="P34" s="5" t="s">
        <v>202</v>
      </c>
      <c r="Q34" s="5" t="s">
        <v>188</v>
      </c>
      <c r="R34" s="5">
        <v>1</v>
      </c>
      <c r="S34" s="3"/>
    </row>
    <row r="35" spans="1:19" ht="17" customHeight="1">
      <c r="A35" s="3" t="s">
        <v>243</v>
      </c>
      <c r="B35" s="3" t="s">
        <v>247</v>
      </c>
      <c r="C35" s="59" t="s">
        <v>258</v>
      </c>
      <c r="D35" s="3"/>
      <c r="E35" s="3" t="s">
        <v>251</v>
      </c>
      <c r="F35" s="31">
        <v>1020</v>
      </c>
      <c r="G35" s="31">
        <v>2400</v>
      </c>
      <c r="H35" s="3"/>
      <c r="I35" s="6" t="s">
        <v>211</v>
      </c>
      <c r="J35" s="7" t="s">
        <v>246</v>
      </c>
      <c r="K35" s="7" t="s">
        <v>117</v>
      </c>
      <c r="L35" s="5"/>
      <c r="M35" s="5" t="s">
        <v>212</v>
      </c>
      <c r="N35" s="5" t="s">
        <v>214</v>
      </c>
      <c r="O35" s="5">
        <v>1500</v>
      </c>
      <c r="P35" s="5" t="s">
        <v>187</v>
      </c>
      <c r="Q35" s="5" t="s">
        <v>188</v>
      </c>
      <c r="R35" s="5">
        <v>1</v>
      </c>
      <c r="S35" s="3"/>
    </row>
    <row r="36" spans="1:19">
      <c r="A36" s="3" t="s">
        <v>243</v>
      </c>
      <c r="B36" s="3" t="s">
        <v>247</v>
      </c>
      <c r="C36" s="38"/>
      <c r="D36" s="3"/>
      <c r="E36" s="3"/>
      <c r="F36" s="31"/>
      <c r="G36" s="31"/>
      <c r="H36" s="3"/>
      <c r="I36" s="6" t="s">
        <v>259</v>
      </c>
      <c r="J36" s="36"/>
      <c r="K36" s="7"/>
      <c r="L36" s="5"/>
      <c r="M36" s="5"/>
      <c r="N36" s="5"/>
      <c r="O36" s="5"/>
      <c r="P36" s="5"/>
      <c r="Q36" s="5"/>
      <c r="R36" s="5"/>
      <c r="S36" s="3"/>
    </row>
    <row r="37" spans="1:19">
      <c r="A37" s="44"/>
      <c r="B37" s="44"/>
      <c r="C37" s="45"/>
      <c r="E37" s="44"/>
      <c r="F37" s="46"/>
      <c r="G37" s="46"/>
      <c r="I37" s="47"/>
      <c r="J37" s="48"/>
      <c r="K37" s="49"/>
      <c r="L37" s="50"/>
      <c r="M37" s="50"/>
      <c r="N37" s="50"/>
      <c r="O37" s="50"/>
      <c r="P37" s="50"/>
      <c r="Q37" s="50"/>
      <c r="R37" s="50"/>
    </row>
    <row r="38" spans="1:19">
      <c r="A38" s="44"/>
      <c r="Q38" s="50"/>
    </row>
  </sheetData>
  <mergeCells count="8">
    <mergeCell ref="A1:M2"/>
    <mergeCell ref="A5:A6"/>
    <mergeCell ref="O3:P3"/>
    <mergeCell ref="S2:S3"/>
    <mergeCell ref="B5:B6"/>
    <mergeCell ref="C5:C6"/>
    <mergeCell ref="N5:N6"/>
    <mergeCell ref="I5:J5"/>
  </mergeCells>
  <phoneticPr fontId="3" type="noConversion"/>
  <dataValidations count="1">
    <dataValidation type="list" allowBlank="1" showInputMessage="1" sqref="M28:M35" xr:uid="{B5D65F40-F824-1447-B00D-3C68EC94A491}">
      <formula1>"PLAIN,FANCY,BASE RAIL"</formula1>
    </dataValidation>
  </dataValidations>
  <pageMargins left="0.15748031496062992" right="7.874015748031496E-2" top="0.15748031496062992" bottom="0.15748031496062992" header="0.31496062992125984" footer="0.11811023622047245"/>
  <pageSetup paperSize="9" orientation="landscape" horizontalDpi="1200" verticalDpi="1200" copies="2" r:id="rId1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xr:uid="{00000000-0002-0000-0000-000000000000}">
          <x14:formula1>
            <xm:f>CTRL!$A$1:$A$14</xm:f>
          </x14:formula1>
          <xm:sqref>M25:M27 M36:M50</xm:sqref>
        </x14:dataValidation>
        <x14:dataValidation type="list" allowBlank="1" showInputMessage="1" xr:uid="{00000000-0002-0000-0000-000001000000}">
          <x14:formula1>
            <xm:f>Materials!$A$2:$A$192</xm:f>
          </x14:formula1>
          <xm:sqref>I37:I50</xm:sqref>
        </x14:dataValidation>
        <x14:dataValidation type="list" allowBlank="1" showInputMessage="1" xr:uid="{5FDD268F-547C-4614-8716-459F3AA60F45}">
          <x14:formula1>
            <xm:f>INDIRECT("Materials!$A$2:$A$"&amp;COUNTA(Materials!$B:$B))</xm:f>
          </x14:formula1>
          <xm:sqref>I25:I27 I36</xm:sqref>
        </x14:dataValidation>
        <x14:dataValidation type="list" allowBlank="1" showInputMessage="1" xr:uid="{F33F8B47-0B5E-AB4D-B736-DAA1A3EA9987}">
          <x14:formula1>
            <xm:f>INDIRECT("Materials!$A$2:$A$"&amp;COUNTA('/Users/Shadelite/Library/Containers/com.apple.mail/Data/Library/Mail Downloads/5B8C2FC1-D219-4009-ADA1-505F311A19B3/[Chris Rollers.xlsx]Materials'!#REF!))</xm:f>
          </x14:formula1>
          <xm:sqref>I7:I24</xm:sqref>
        </x14:dataValidation>
        <x14:dataValidation type="list" allowBlank="1" showInputMessage="1" xr:uid="{CE4A043D-72AE-464D-AB20-AAF5B15241E0}">
          <x14:formula1>
            <xm:f>'/Users/Shadelite/Library/Containers/com.apple.mail/Data/Library/Mail Downloads/5B8C2FC1-D219-4009-ADA1-505F311A19B3/[Chris Rollers.xlsx]CTRL'!#REF!</xm:f>
          </x14:formula1>
          <xm:sqref>M7:M24</xm:sqref>
        </x14:dataValidation>
        <x14:dataValidation type="list" allowBlank="1" showInputMessage="1" xr:uid="{232C8D0D-C689-7847-88A1-D5F253828765}">
          <x14:formula1>
            <xm:f>'/Users/Shadelite/Library/Containers/com.apple.mail/Data/Library/Mail Downloads/58FFEBC9-408A-4389-88CD-4EECF3EADA29/[Shadelite order - Account Edithvale 17@101.XLSX]Materials'!#REF!</xm:f>
          </x14:formula1>
          <xm:sqref>I28</xm:sqref>
        </x14:dataValidation>
        <x14:dataValidation type="list" allowBlank="1" showInputMessage="1" xr:uid="{F91F1387-FC3B-5248-B9CE-BB29FC2D492C}">
          <x14:formula1>
            <xm:f>'/Users/Shadelite/Library/Containers/com.apple.mail/Data/Library/Mail Downloads/10DE241C-6F67-42BA-A844-47A2EB0ED63B/[Shadelite order - Account Bay street 392.XLSX]Materials'!#REF!</xm:f>
          </x14:formula1>
          <xm:sqref>I29:I35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A8A78-EE37-4777-9986-286E904CD6FD}">
  <sheetPr codeName="Sheet3"/>
  <dimension ref="A1:A14"/>
  <sheetViews>
    <sheetView workbookViewId="0">
      <selection activeCell="P22" sqref="P22"/>
    </sheetView>
  </sheetViews>
  <sheetFormatPr baseColWidth="10" defaultColWidth="8.83203125" defaultRowHeight="16"/>
  <cols>
    <col min="1" max="1" width="15.83203125" bestFit="1" customWidth="1"/>
  </cols>
  <sheetData>
    <row r="1" spans="1:1">
      <c r="A1" t="s">
        <v>175</v>
      </c>
    </row>
    <row r="2" spans="1:1">
      <c r="A2" t="s">
        <v>176</v>
      </c>
    </row>
    <row r="3" spans="1:1">
      <c r="A3" t="s">
        <v>177</v>
      </c>
    </row>
    <row r="4" spans="1:1">
      <c r="A4" t="s">
        <v>178</v>
      </c>
    </row>
    <row r="5" spans="1:1">
      <c r="A5" t="s">
        <v>179</v>
      </c>
    </row>
    <row r="6" spans="1:1">
      <c r="A6" t="s">
        <v>180</v>
      </c>
    </row>
    <row r="7" spans="1:1">
      <c r="A7" t="s">
        <v>181</v>
      </c>
    </row>
    <row r="8" spans="1:1">
      <c r="A8" t="s">
        <v>182</v>
      </c>
    </row>
    <row r="9" spans="1:1">
      <c r="A9" t="s">
        <v>183</v>
      </c>
    </row>
    <row r="10" spans="1:1">
      <c r="A10" t="s">
        <v>174</v>
      </c>
    </row>
    <row r="11" spans="1:1">
      <c r="A11" t="s">
        <v>170</v>
      </c>
    </row>
    <row r="12" spans="1:1">
      <c r="A12" t="s">
        <v>171</v>
      </c>
    </row>
    <row r="13" spans="1:1">
      <c r="A13" t="s">
        <v>172</v>
      </c>
    </row>
    <row r="14" spans="1:1">
      <c r="A14" t="s">
        <v>173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M128"/>
  <sheetViews>
    <sheetView topLeftCell="A121" zoomScale="108" zoomScaleNormal="125" zoomScalePageLayoutView="125" workbookViewId="0">
      <selection activeCell="H123" sqref="H123"/>
    </sheetView>
  </sheetViews>
  <sheetFormatPr baseColWidth="10" defaultColWidth="11.1640625" defaultRowHeight="16"/>
  <cols>
    <col min="1" max="1" width="7" customWidth="1"/>
    <col min="2" max="2" width="5.5" customWidth="1"/>
    <col min="3" max="5" width="3.83203125" customWidth="1"/>
  </cols>
  <sheetData>
    <row r="1" spans="1:13" ht="46" customHeight="1">
      <c r="A1" s="77" t="str">
        <f>'ORDER SHEET'!$E$7</f>
        <v>LG1/1</v>
      </c>
      <c r="B1" s="78" t="str">
        <f>'ORDER SHEET'!$F$7&amp;"x"&amp;'ORDER SHEET'!$G$7</f>
        <v>824x1800</v>
      </c>
      <c r="C1" s="43" t="str">
        <f>IF('ORDER SHEET'!$L$7="OR","OR","-")</f>
        <v>-</v>
      </c>
      <c r="D1" s="24">
        <f>'ORDER SHEET'!$R$7</f>
        <v>1</v>
      </c>
      <c r="E1" s="25"/>
    </row>
    <row r="2" spans="1:13" ht="76" customHeight="1">
      <c r="A2" s="77"/>
      <c r="B2" s="78"/>
      <c r="C2" s="24" t="str">
        <f>'ORDER SHEET'!$M$7</f>
        <v>SILVER</v>
      </c>
      <c r="D2" s="26" t="str">
        <f>'ORDER SHEET'!$P$7</f>
        <v>R</v>
      </c>
      <c r="E2" s="40" t="str">
        <f>'ORDER SHEET'!$C$7</f>
        <v>1 OF 18</v>
      </c>
      <c r="H2" s="23"/>
      <c r="M2" s="24"/>
    </row>
    <row r="3" spans="1:13" ht="45" customHeight="1">
      <c r="A3" s="79" t="str">
        <f>'ORDER SHEET'!$A$7</f>
        <v>BLINDS4U</v>
      </c>
      <c r="B3" s="80" t="str">
        <f>'ORDER SHEET'!$B$7</f>
        <v>Chris</v>
      </c>
      <c r="C3" s="81" t="str">
        <f>'ORDER SHEET'!$I$7 &amp; " " &amp; 'ORDER SHEET'!$J$7</f>
        <v>SOLARCOOL 5% BEIGE GREY</v>
      </c>
      <c r="D3" s="24" t="str">
        <f>'ORDER SHEET'!$Q$7</f>
        <v>M</v>
      </c>
      <c r="E3" s="24"/>
    </row>
    <row r="4" spans="1:13" ht="116" customHeight="1">
      <c r="A4" s="79"/>
      <c r="B4" s="80"/>
      <c r="C4" s="81"/>
      <c r="D4" s="24">
        <f>'ORDER SHEET'!$O$7</f>
        <v>750</v>
      </c>
      <c r="E4" s="24" t="str">
        <f>'ORDER SHEET'!$N$7&amp;"  "&amp;"ACC"</f>
        <v>S WHITE  ACC</v>
      </c>
    </row>
    <row r="5" spans="1:13" ht="46" customHeight="1">
      <c r="A5" s="82" t="str">
        <f>'ORDER SHEET'!$E$8</f>
        <v>LG1/2</v>
      </c>
      <c r="B5" s="83" t="str">
        <f>'ORDER SHEET'!$F$8&amp;"x"&amp;'ORDER SHEET'!$G$8</f>
        <v>824x1800</v>
      </c>
      <c r="C5" s="42" t="str">
        <f>IF('ORDER SHEET'!$L$8="OR","OR","-")</f>
        <v>-</v>
      </c>
      <c r="D5" s="27">
        <f>'ORDER SHEET'!$R$8</f>
        <v>1</v>
      </c>
      <c r="E5" s="28"/>
    </row>
    <row r="6" spans="1:13" ht="76" customHeight="1">
      <c r="A6" s="82"/>
      <c r="B6" s="83"/>
      <c r="C6" s="27" t="str">
        <f>'ORDER SHEET'!$M$8</f>
        <v>SILVER</v>
      </c>
      <c r="D6" s="29" t="str">
        <f>'ORDER SHEET'!$P$8</f>
        <v>R</v>
      </c>
      <c r="E6" s="41" t="str">
        <f>'ORDER SHEET'!$C$8</f>
        <v>2 OF 18</v>
      </c>
    </row>
    <row r="7" spans="1:13" ht="45" customHeight="1">
      <c r="A7" s="84" t="str">
        <f>'ORDER SHEET'!$A$8</f>
        <v>BLINDS4U</v>
      </c>
      <c r="B7" s="85" t="str">
        <f>'ORDER SHEET'!$B$8</f>
        <v>Chris</v>
      </c>
      <c r="C7" s="86" t="str">
        <f>'ORDER SHEET'!$I$8 &amp; " " &amp; 'ORDER SHEET'!$J$8</f>
        <v>SOLARCOOL 5% BEIGE GREY</v>
      </c>
      <c r="D7" s="27" t="str">
        <f>'ORDER SHEET'!$Q$8</f>
        <v>M</v>
      </c>
      <c r="E7" s="27"/>
    </row>
    <row r="8" spans="1:13" ht="116" customHeight="1">
      <c r="A8" s="84"/>
      <c r="B8" s="85"/>
      <c r="C8" s="86"/>
      <c r="D8" s="27">
        <f>'ORDER SHEET'!$O$8</f>
        <v>750</v>
      </c>
      <c r="E8" s="27" t="str">
        <f>'ORDER SHEET'!$N$8&amp;"  "&amp;"ACC"</f>
        <v>S WHITE  ACC</v>
      </c>
    </row>
    <row r="9" spans="1:13" ht="46" customHeight="1">
      <c r="A9" s="77" t="str">
        <f>'ORDER SHEET'!$E$9</f>
        <v>LG 1/3</v>
      </c>
      <c r="B9" s="78" t="str">
        <f>'ORDER SHEET'!$F$9&amp;"x"&amp;'ORDER SHEET'!$G$9</f>
        <v>822x1800</v>
      </c>
      <c r="C9" s="43" t="str">
        <f>IF('ORDER SHEET'!$L$9="OR","OR","-")</f>
        <v>-</v>
      </c>
      <c r="D9" s="24">
        <f>'ORDER SHEET'!$R$9</f>
        <v>1</v>
      </c>
      <c r="E9" s="25"/>
    </row>
    <row r="10" spans="1:13" ht="76" customHeight="1">
      <c r="A10" s="77"/>
      <c r="B10" s="78"/>
      <c r="C10" s="24" t="str">
        <f>'ORDER SHEET'!$M$9</f>
        <v>SILVER</v>
      </c>
      <c r="D10" s="26" t="str">
        <f>'ORDER SHEET'!$P$9</f>
        <v xml:space="preserve">L </v>
      </c>
      <c r="E10" s="40" t="str">
        <f>'ORDER SHEET'!$C$9</f>
        <v>3 OF 18</v>
      </c>
      <c r="H10" s="23"/>
    </row>
    <row r="11" spans="1:13" ht="45" customHeight="1">
      <c r="A11" s="79" t="str">
        <f>'ORDER SHEET'!$A$9</f>
        <v>BLINDS4U</v>
      </c>
      <c r="B11" s="80" t="str">
        <f>'ORDER SHEET'!$B$9</f>
        <v>Chris</v>
      </c>
      <c r="C11" s="81" t="str">
        <f>'ORDER SHEET'!$I$9 &amp; " " &amp; 'ORDER SHEET'!$J$9</f>
        <v>SOLARCOOL 5% BEIGE GREY</v>
      </c>
      <c r="D11" s="24" t="str">
        <f>'ORDER SHEET'!$Q$9</f>
        <v>M</v>
      </c>
      <c r="E11" s="24"/>
    </row>
    <row r="12" spans="1:13" ht="116" customHeight="1">
      <c r="A12" s="79"/>
      <c r="B12" s="80"/>
      <c r="C12" s="81"/>
      <c r="D12" s="24">
        <f>'ORDER SHEET'!$O$9</f>
        <v>750</v>
      </c>
      <c r="E12" s="24" t="str">
        <f>'ORDER SHEET'!$N$9&amp;"  "&amp;"ACC"</f>
        <v>S WHITE  ACC</v>
      </c>
    </row>
    <row r="13" spans="1:13" ht="46" customHeight="1">
      <c r="A13" s="82" t="str">
        <f>'ORDER SHEET'!$E$10</f>
        <v>S/Door</v>
      </c>
      <c r="B13" s="83" t="str">
        <f>'ORDER SHEET'!$F$10&amp;"x"&amp;'ORDER SHEET'!$G$10</f>
        <v>1794x2100</v>
      </c>
      <c r="C13" s="42" t="str">
        <f>IF('ORDER SHEET'!$L$10="OR","OR","-")</f>
        <v>OR</v>
      </c>
      <c r="D13" s="27">
        <f>'ORDER SHEET'!$R$10</f>
        <v>1</v>
      </c>
      <c r="E13" s="28"/>
    </row>
    <row r="14" spans="1:13" ht="76" customHeight="1">
      <c r="A14" s="82"/>
      <c r="B14" s="83"/>
      <c r="C14" s="27" t="str">
        <f>'ORDER SHEET'!$M$10</f>
        <v>SILVER</v>
      </c>
      <c r="D14" s="29" t="str">
        <f>'ORDER SHEET'!$P$10</f>
        <v>R</v>
      </c>
      <c r="E14" s="41" t="str">
        <f>'ORDER SHEET'!$C$10</f>
        <v>4 OF 18</v>
      </c>
      <c r="H14" s="23"/>
    </row>
    <row r="15" spans="1:13" ht="45" customHeight="1">
      <c r="A15" s="84" t="str">
        <f>'ORDER SHEET'!$A$10</f>
        <v>BLINDS4U</v>
      </c>
      <c r="B15" s="85" t="str">
        <f>'ORDER SHEET'!$B$10</f>
        <v>Chris</v>
      </c>
      <c r="C15" s="86" t="str">
        <f>'ORDER SHEET'!$I$10 &amp; " " &amp; 'ORDER SHEET'!$J$10</f>
        <v>SOLARCOOL 5% BEIGE GREY</v>
      </c>
      <c r="D15" s="27" t="str">
        <f>'ORDER SHEET'!$Q$10</f>
        <v>M</v>
      </c>
      <c r="E15" s="27"/>
    </row>
    <row r="16" spans="1:13" ht="116" customHeight="1">
      <c r="A16" s="84"/>
      <c r="B16" s="85"/>
      <c r="C16" s="86"/>
      <c r="D16" s="27" t="str">
        <f>'ORDER SHEET'!$O$10</f>
        <v>SWIVEL 750</v>
      </c>
      <c r="E16" s="27" t="str">
        <f>'ORDER SHEET'!$N$10&amp;"  "&amp;"ACC"</f>
        <v>WHITE  ACC</v>
      </c>
    </row>
    <row r="17" spans="1:8" ht="46" customHeight="1">
      <c r="A17" s="77" t="str">
        <f>'ORDER SHEET'!$E$11</f>
        <v>Kitc</v>
      </c>
      <c r="B17" s="78" t="str">
        <f>'ORDER SHEET'!$F$11&amp;"x"&amp;'ORDER SHEET'!$G$11</f>
        <v>1572x1000</v>
      </c>
      <c r="C17" s="43" t="str">
        <f>IF('ORDER SHEET'!$L$11="OR","OR","-")</f>
        <v>OR</v>
      </c>
      <c r="D17" s="24">
        <f>'ORDER SHEET'!$R$11</f>
        <v>1</v>
      </c>
      <c r="E17" s="25"/>
    </row>
    <row r="18" spans="1:8" ht="76" customHeight="1">
      <c r="A18" s="77"/>
      <c r="B18" s="78"/>
      <c r="C18" s="24" t="str">
        <f>'ORDER SHEET'!$M$11</f>
        <v>SILVER</v>
      </c>
      <c r="D18" s="26" t="str">
        <f>'ORDER SHEET'!$P$11</f>
        <v>R</v>
      </c>
      <c r="E18" s="40" t="str">
        <f>'ORDER SHEET'!$C$11</f>
        <v>5 OF 18</v>
      </c>
      <c r="H18" s="23"/>
    </row>
    <row r="19" spans="1:8" ht="45" customHeight="1">
      <c r="A19" s="79" t="str">
        <f>'ORDER SHEET'!$A$11</f>
        <v>BLINDS4U</v>
      </c>
      <c r="B19" s="80" t="str">
        <f>'ORDER SHEET'!$B$11</f>
        <v>Chris</v>
      </c>
      <c r="C19" s="81" t="str">
        <f>'ORDER SHEET'!$I$11 &amp; " " &amp; 'ORDER SHEET'!$J$11</f>
        <v>SOLARCOOL 5% BEIGE GREY</v>
      </c>
      <c r="D19" s="24" t="str">
        <f>'ORDER SHEET'!$Q$11</f>
        <v>M</v>
      </c>
      <c r="E19" s="24"/>
    </row>
    <row r="20" spans="1:8" ht="116" customHeight="1">
      <c r="A20" s="79"/>
      <c r="B20" s="80"/>
      <c r="C20" s="81"/>
      <c r="D20" s="24" t="str">
        <f>'ORDER SHEET'!$O$11</f>
        <v>SWIVEL 750</v>
      </c>
      <c r="E20" s="24" t="str">
        <f>'ORDER SHEET'!$N$11&amp;"  "&amp;"ACC"</f>
        <v>WHITE  ACC</v>
      </c>
    </row>
    <row r="21" spans="1:8" ht="46" customHeight="1">
      <c r="A21" s="82" t="str">
        <f>'ORDER SHEET'!$E$12</f>
        <v>Bed 1/1</v>
      </c>
      <c r="B21" s="83" t="str">
        <f>'ORDER SHEET'!$F$12&amp;"x"&amp;'ORDER SHEET'!$G$12</f>
        <v>811x1000</v>
      </c>
      <c r="C21" s="42" t="str">
        <f>IF('ORDER SHEET'!$L$12="OR","OR","-")</f>
        <v>-</v>
      </c>
      <c r="D21" s="27">
        <f>'ORDER SHEET'!$R$12</f>
        <v>1</v>
      </c>
      <c r="E21" s="28"/>
    </row>
    <row r="22" spans="1:8" ht="76" customHeight="1">
      <c r="A22" s="82"/>
      <c r="B22" s="83"/>
      <c r="C22" s="27" t="str">
        <f>'ORDER SHEET'!$M$12</f>
        <v>SILVER</v>
      </c>
      <c r="D22" s="29" t="str">
        <f>'ORDER SHEET'!$P$12</f>
        <v>R</v>
      </c>
      <c r="E22" s="41" t="str">
        <f>'ORDER SHEET'!$C$12</f>
        <v>6 OF 18</v>
      </c>
      <c r="H22" s="23"/>
    </row>
    <row r="23" spans="1:8" ht="45" customHeight="1">
      <c r="A23" s="84" t="str">
        <f>'ORDER SHEET'!$A$12</f>
        <v>BLINDS4U</v>
      </c>
      <c r="B23" s="85" t="str">
        <f>'ORDER SHEET'!$B$12</f>
        <v>Chris</v>
      </c>
      <c r="C23" s="86" t="str">
        <f>'ORDER SHEET'!$I$12 &amp; " " &amp; 'ORDER SHEET'!$J$12</f>
        <v>SOLARCOOL 5% BEIGE GREY</v>
      </c>
      <c r="D23" s="27" t="str">
        <f>'ORDER SHEET'!$Q$12</f>
        <v>M</v>
      </c>
      <c r="E23" s="27"/>
    </row>
    <row r="24" spans="1:8" ht="116" customHeight="1">
      <c r="A24" s="84"/>
      <c r="B24" s="85"/>
      <c r="C24" s="86"/>
      <c r="D24" s="27">
        <f>'ORDER SHEET'!$O$12</f>
        <v>750</v>
      </c>
      <c r="E24" s="27" t="str">
        <f>'ORDER SHEET'!$N$12&amp;"  "&amp;"ACC"</f>
        <v>S WHITE  ACC</v>
      </c>
    </row>
    <row r="25" spans="1:8" ht="46" customHeight="1">
      <c r="A25" s="77" t="str">
        <f>'ORDER SHEET'!$E$13</f>
        <v>Bed1/2</v>
      </c>
      <c r="B25" s="78" t="str">
        <f>'ORDER SHEET'!$F$13&amp;"x"&amp;'ORDER SHEET'!$G$13</f>
        <v>811x1000</v>
      </c>
      <c r="C25" s="43" t="str">
        <f>IF('ORDER SHEET'!$L$13="OR","OR","-")</f>
        <v>-</v>
      </c>
      <c r="D25" s="24">
        <f>'ORDER SHEET'!$R$13</f>
        <v>1</v>
      </c>
      <c r="E25" s="25"/>
    </row>
    <row r="26" spans="1:8" ht="76" customHeight="1">
      <c r="A26" s="77"/>
      <c r="B26" s="78"/>
      <c r="C26" s="24" t="str">
        <f>'ORDER SHEET'!$M$13</f>
        <v>SILVER</v>
      </c>
      <c r="D26" s="26" t="str">
        <f>'ORDER SHEET'!$P$13</f>
        <v xml:space="preserve">L </v>
      </c>
      <c r="E26" s="40" t="str">
        <f>'ORDER SHEET'!$C$13</f>
        <v>7 OF 18</v>
      </c>
      <c r="H26" s="23"/>
    </row>
    <row r="27" spans="1:8" ht="45" customHeight="1">
      <c r="A27" s="79" t="str">
        <f>'ORDER SHEET'!$A$13</f>
        <v>BLINDS4U</v>
      </c>
      <c r="B27" s="80" t="str">
        <f>'ORDER SHEET'!$B$13</f>
        <v>Chris</v>
      </c>
      <c r="C27" s="81" t="str">
        <f>'ORDER SHEET'!$I$13 &amp; " " &amp; 'ORDER SHEET'!$J$13</f>
        <v>SOLARCOOL 5% BEIGE GREY</v>
      </c>
      <c r="D27" s="24" t="str">
        <f>'ORDER SHEET'!$Q$13</f>
        <v>M</v>
      </c>
      <c r="E27" s="24"/>
    </row>
    <row r="28" spans="1:8" ht="116" customHeight="1">
      <c r="A28" s="79"/>
      <c r="B28" s="80"/>
      <c r="C28" s="81"/>
      <c r="D28" s="24">
        <f>'ORDER SHEET'!$O$13</f>
        <v>750</v>
      </c>
      <c r="E28" s="24" t="str">
        <f>'ORDER SHEET'!$N$13&amp;"  "&amp;"ACC"</f>
        <v>S WHITE  ACC</v>
      </c>
    </row>
    <row r="29" spans="1:8" ht="46" customHeight="1">
      <c r="A29" s="82" t="str">
        <f>'ORDER SHEET'!$E$14</f>
        <v xml:space="preserve">Bed 2 </v>
      </c>
      <c r="B29" s="83" t="str">
        <f>'ORDER SHEET'!$F$14&amp;"x"&amp;'ORDER SHEET'!$G$14</f>
        <v>1762x1200</v>
      </c>
      <c r="C29" s="42" t="str">
        <f>IF('ORDER SHEET'!$L$14="OR","OR","-")</f>
        <v>-</v>
      </c>
      <c r="D29" s="27">
        <f>'ORDER SHEET'!$R$14</f>
        <v>1</v>
      </c>
      <c r="E29" s="28"/>
    </row>
    <row r="30" spans="1:8" ht="76" customHeight="1">
      <c r="A30" s="82"/>
      <c r="B30" s="83"/>
      <c r="C30" s="27" t="str">
        <f>'ORDER SHEET'!$M$14</f>
        <v>SILVER</v>
      </c>
      <c r="D30" s="29" t="str">
        <f>'ORDER SHEET'!$P$14</f>
        <v>R</v>
      </c>
      <c r="E30" s="41" t="str">
        <f>'ORDER SHEET'!$C$14</f>
        <v>8 OF 18</v>
      </c>
      <c r="H30" s="23"/>
    </row>
    <row r="31" spans="1:8" ht="45" customHeight="1">
      <c r="A31" s="84" t="str">
        <f>'ORDER SHEET'!$A$14</f>
        <v>BLINDS4U</v>
      </c>
      <c r="B31" s="85" t="str">
        <f>'ORDER SHEET'!$B$14</f>
        <v>Chris</v>
      </c>
      <c r="C31" s="86" t="str">
        <f>'ORDER SHEET'!$I$14 &amp; " " &amp; 'ORDER SHEET'!$J$14</f>
        <v>SOLARCOOL 5% BEIGE GREY</v>
      </c>
      <c r="D31" s="27" t="str">
        <f>'ORDER SHEET'!$Q$14</f>
        <v>M</v>
      </c>
      <c r="E31" s="27"/>
    </row>
    <row r="32" spans="1:8" ht="116" customHeight="1">
      <c r="A32" s="84"/>
      <c r="B32" s="85"/>
      <c r="C32" s="86"/>
      <c r="D32" s="27">
        <f>'ORDER SHEET'!$O$14</f>
        <v>750</v>
      </c>
      <c r="E32" s="27" t="str">
        <f>'ORDER SHEET'!$N$14&amp;"  "&amp;"ACC"</f>
        <v>S WHITE  ACC</v>
      </c>
    </row>
    <row r="33" spans="1:8" ht="46" customHeight="1">
      <c r="A33" s="77" t="str">
        <f>'ORDER SHEET'!$E$15</f>
        <v>Lg1/1</v>
      </c>
      <c r="B33" s="78" t="str">
        <f>'ORDER SHEET'!$F$15&amp;"x"&amp;'ORDER SHEET'!$G$15</f>
        <v>975x1800</v>
      </c>
      <c r="C33" s="43" t="str">
        <f>IF('ORDER SHEET'!$L$15="OR","OR","-")</f>
        <v>-</v>
      </c>
      <c r="D33" s="24">
        <f>'ORDER SHEET'!$R$15</f>
        <v>1</v>
      </c>
      <c r="E33" s="25"/>
    </row>
    <row r="34" spans="1:8" ht="76" customHeight="1">
      <c r="A34" s="77"/>
      <c r="B34" s="78"/>
      <c r="C34" s="24" t="str">
        <f>'ORDER SHEET'!$M$15</f>
        <v>SILVER</v>
      </c>
      <c r="D34" s="26" t="str">
        <f>'ORDER SHEET'!$P$15</f>
        <v>R</v>
      </c>
      <c r="E34" s="40" t="str">
        <f>'ORDER SHEET'!$C$15</f>
        <v>9 OF 18</v>
      </c>
      <c r="H34" s="23"/>
    </row>
    <row r="35" spans="1:8" ht="45" customHeight="1">
      <c r="A35" s="79" t="str">
        <f>'ORDER SHEET'!$A$15</f>
        <v>BLINDS4U</v>
      </c>
      <c r="B35" s="80" t="str">
        <f>'ORDER SHEET'!$B$15</f>
        <v>Chris</v>
      </c>
      <c r="C35" s="81" t="str">
        <f>'ORDER SHEET'!$I$15 &amp; " " &amp; 'ORDER SHEET'!$J$15</f>
        <v>VIBE Terrace</v>
      </c>
      <c r="D35" s="24" t="str">
        <f>'ORDER SHEET'!$Q$15</f>
        <v>M</v>
      </c>
      <c r="E35" s="24"/>
    </row>
    <row r="36" spans="1:8" ht="116" customHeight="1">
      <c r="A36" s="79"/>
      <c r="B36" s="80"/>
      <c r="C36" s="81"/>
      <c r="D36" s="24">
        <f>'ORDER SHEET'!$O$15</f>
        <v>750</v>
      </c>
      <c r="E36" s="24" t="str">
        <f>'ORDER SHEET'!$N$15&amp;"  "&amp;"ACC"</f>
        <v>S WHITE  ACC</v>
      </c>
    </row>
    <row r="37" spans="1:8" ht="46" customHeight="1">
      <c r="A37" s="82" t="str">
        <f>'ORDER SHEET'!$E$16</f>
        <v>Lg1/2</v>
      </c>
      <c r="B37" s="83" t="str">
        <f>'ORDER SHEET'!$F$16&amp;"x"&amp;'ORDER SHEET'!$G$16</f>
        <v>975x1800</v>
      </c>
      <c r="C37" s="42" t="str">
        <f>IF('ORDER SHEET'!$L$16="OR","OR","-")</f>
        <v>-</v>
      </c>
      <c r="D37" s="27">
        <f>'ORDER SHEET'!$R$16</f>
        <v>1</v>
      </c>
      <c r="E37" s="28"/>
    </row>
    <row r="38" spans="1:8" ht="76" customHeight="1">
      <c r="A38" s="82"/>
      <c r="B38" s="83"/>
      <c r="C38" s="27" t="str">
        <f>'ORDER SHEET'!$M$16</f>
        <v>SILVER</v>
      </c>
      <c r="D38" s="29" t="str">
        <f>'ORDER SHEET'!$P$16</f>
        <v>R</v>
      </c>
      <c r="E38" s="41" t="str">
        <f>'ORDER SHEET'!$C$16</f>
        <v>10 OF 18</v>
      </c>
      <c r="H38" s="23"/>
    </row>
    <row r="39" spans="1:8" ht="45" customHeight="1">
      <c r="A39" s="84" t="str">
        <f>'ORDER SHEET'!$A$16</f>
        <v>BLINDS4U</v>
      </c>
      <c r="B39" s="85" t="str">
        <f>'ORDER SHEET'!$B$16</f>
        <v>Chris</v>
      </c>
      <c r="C39" s="86" t="str">
        <f>'ORDER SHEET'!$I$16 &amp; " " &amp; 'ORDER SHEET'!$J$16</f>
        <v>VIBE Terrace</v>
      </c>
      <c r="D39" s="27" t="str">
        <f>'ORDER SHEET'!$Q$16</f>
        <v>M</v>
      </c>
      <c r="E39" s="27"/>
    </row>
    <row r="40" spans="1:8" ht="116" customHeight="1">
      <c r="A40" s="84"/>
      <c r="B40" s="85"/>
      <c r="C40" s="86"/>
      <c r="D40" s="27">
        <f>'ORDER SHEET'!$O$16</f>
        <v>750</v>
      </c>
      <c r="E40" s="27" t="str">
        <f>'ORDER SHEET'!$N$16&amp;"  "&amp;"ACC"</f>
        <v>S WHITE  ACC</v>
      </c>
    </row>
    <row r="41" spans="1:8" ht="46" customHeight="1">
      <c r="A41" s="77" t="str">
        <f>'ORDER SHEET'!$E$17</f>
        <v>Lg1/3</v>
      </c>
      <c r="B41" s="78" t="str">
        <f>'ORDER SHEET'!$F$17&amp;"x"&amp;'ORDER SHEET'!$G$17</f>
        <v>967x1800</v>
      </c>
      <c r="C41" s="43" t="str">
        <f>IF('ORDER SHEET'!$L$17="OR","OR","-")</f>
        <v>-</v>
      </c>
      <c r="D41" s="24">
        <f>'ORDER SHEET'!$R$17</f>
        <v>1</v>
      </c>
      <c r="E41" s="25"/>
    </row>
    <row r="42" spans="1:8" ht="76" customHeight="1">
      <c r="A42" s="77"/>
      <c r="B42" s="78"/>
      <c r="C42" s="24" t="str">
        <f>'ORDER SHEET'!$M$17</f>
        <v>SILVER</v>
      </c>
      <c r="D42" s="26" t="str">
        <f>'ORDER SHEET'!$P$17</f>
        <v>L</v>
      </c>
      <c r="E42" s="40" t="str">
        <f>'ORDER SHEET'!$C$17</f>
        <v>11 OF 18</v>
      </c>
      <c r="H42" s="23"/>
    </row>
    <row r="43" spans="1:8" ht="45" customHeight="1">
      <c r="A43" s="79" t="str">
        <f>'ORDER SHEET'!$A$17</f>
        <v>BLINDS4U</v>
      </c>
      <c r="B43" s="80" t="str">
        <f>'ORDER SHEET'!$B$17</f>
        <v>Chris</v>
      </c>
      <c r="C43" s="81" t="str">
        <f>'ORDER SHEET'!$I$17 &amp; " " &amp; 'ORDER SHEET'!$J$17</f>
        <v>VIBE Terrace</v>
      </c>
      <c r="D43" s="24" t="str">
        <f>'ORDER SHEET'!$Q$17</f>
        <v>M</v>
      </c>
      <c r="E43" s="24"/>
    </row>
    <row r="44" spans="1:8" ht="116" customHeight="1">
      <c r="A44" s="79"/>
      <c r="B44" s="80"/>
      <c r="C44" s="81"/>
      <c r="D44" s="24">
        <f>'ORDER SHEET'!$O$17</f>
        <v>750</v>
      </c>
      <c r="E44" s="24" t="str">
        <f>'ORDER SHEET'!$N$17&amp;"  "&amp;"ACC"</f>
        <v>S WHITE  ACC</v>
      </c>
    </row>
    <row r="45" spans="1:8" ht="46" customHeight="1">
      <c r="A45" s="82" t="str">
        <f>'ORDER SHEET'!$E$18</f>
        <v>S/door</v>
      </c>
      <c r="B45" s="83" t="str">
        <f>'ORDER SHEET'!$F$18&amp;"x"&amp;'ORDER SHEET'!$G$18</f>
        <v>1794x2100</v>
      </c>
      <c r="C45" s="42" t="str">
        <f>IF('ORDER SHEET'!$L$18="OR","OR","-")</f>
        <v>-</v>
      </c>
      <c r="D45" s="27">
        <f>'ORDER SHEET'!$R$18</f>
        <v>1</v>
      </c>
      <c r="E45" s="28"/>
    </row>
    <row r="46" spans="1:8" ht="76" customHeight="1">
      <c r="A46" s="82"/>
      <c r="B46" s="83"/>
      <c r="C46" s="27" t="str">
        <f>'ORDER SHEET'!$M$18</f>
        <v>SILVER</v>
      </c>
      <c r="D46" s="29" t="str">
        <f>'ORDER SHEET'!$P$18</f>
        <v>R</v>
      </c>
      <c r="E46" s="41" t="str">
        <f>'ORDER SHEET'!$C$18</f>
        <v>12 OF 18</v>
      </c>
      <c r="H46" s="23"/>
    </row>
    <row r="47" spans="1:8" ht="45" customHeight="1">
      <c r="A47" s="84" t="str">
        <f>'ORDER SHEET'!$A$18</f>
        <v>BLINDS4U</v>
      </c>
      <c r="B47" s="85" t="str">
        <f>'ORDER SHEET'!$B$18</f>
        <v>Chris</v>
      </c>
      <c r="C47" s="86" t="str">
        <f>'ORDER SHEET'!$I$18 &amp; " " &amp; 'ORDER SHEET'!$J$18</f>
        <v>VIBE Terrace</v>
      </c>
      <c r="D47" s="27" t="str">
        <f>'ORDER SHEET'!$Q$18</f>
        <v>M</v>
      </c>
      <c r="E47" s="27"/>
    </row>
    <row r="48" spans="1:8" ht="116" customHeight="1">
      <c r="A48" s="84"/>
      <c r="B48" s="85"/>
      <c r="C48" s="86"/>
      <c r="D48" s="27" t="str">
        <f>'ORDER SHEET'!$O$18</f>
        <v>SWIVEL 750</v>
      </c>
      <c r="E48" s="27" t="str">
        <f>'ORDER SHEET'!$N$18&amp;"  "&amp;"ACC"</f>
        <v>WHITE  ACC</v>
      </c>
    </row>
    <row r="49" spans="1:8" ht="46" customHeight="1">
      <c r="A49" s="77" t="str">
        <f>'ORDER SHEET'!$E$19</f>
        <v>Kitc</v>
      </c>
      <c r="B49" s="78" t="str">
        <f>'ORDER SHEET'!$F$19&amp;"x"&amp;'ORDER SHEET'!$G$19</f>
        <v>1572x1000</v>
      </c>
      <c r="C49" s="43" t="str">
        <f>IF('ORDER SHEET'!$L$19="OR","OR","-")</f>
        <v>-</v>
      </c>
      <c r="D49" s="24">
        <f>'ORDER SHEET'!$R$19</f>
        <v>1</v>
      </c>
      <c r="E49" s="25"/>
    </row>
    <row r="50" spans="1:8" ht="76" customHeight="1">
      <c r="A50" s="77"/>
      <c r="B50" s="78"/>
      <c r="C50" s="24" t="str">
        <f>'ORDER SHEET'!$M$19</f>
        <v>SILVER</v>
      </c>
      <c r="D50" s="26" t="str">
        <f>'ORDER SHEET'!$P$19</f>
        <v>R</v>
      </c>
      <c r="E50" s="40" t="str">
        <f>'ORDER SHEET'!$C$19</f>
        <v>13 OF 18</v>
      </c>
      <c r="H50" s="23"/>
    </row>
    <row r="51" spans="1:8" ht="45" customHeight="1">
      <c r="A51" s="79" t="str">
        <f>'ORDER SHEET'!$A$19</f>
        <v>BLINDS4U</v>
      </c>
      <c r="B51" s="80" t="str">
        <f>'ORDER SHEET'!$B$19</f>
        <v>Chris</v>
      </c>
      <c r="C51" s="81" t="str">
        <f>'ORDER SHEET'!$I$19 &amp; " " &amp; 'ORDER SHEET'!$J$19</f>
        <v>VIBE Terrace</v>
      </c>
      <c r="D51" s="24" t="str">
        <f>'ORDER SHEET'!$Q$19</f>
        <v>M</v>
      </c>
      <c r="E51" s="24"/>
    </row>
    <row r="52" spans="1:8" ht="116" customHeight="1">
      <c r="A52" s="79"/>
      <c r="B52" s="80"/>
      <c r="C52" s="81"/>
      <c r="D52" s="24" t="str">
        <f>'ORDER SHEET'!$O$19</f>
        <v>SWIVEL 750</v>
      </c>
      <c r="E52" s="24" t="str">
        <f>'ORDER SHEET'!$N$19&amp;"  "&amp;"ACC"</f>
        <v>WHITE  ACC</v>
      </c>
    </row>
    <row r="53" spans="1:8" ht="46" customHeight="1">
      <c r="A53" s="82" t="str">
        <f>'ORDER SHEET'!$E$20</f>
        <v>Ldy</v>
      </c>
      <c r="B53" s="83" t="str">
        <f>'ORDER SHEET'!$F$20&amp;"x"&amp;'ORDER SHEET'!$G$20</f>
        <v>1786x1000</v>
      </c>
      <c r="C53" s="42" t="str">
        <f>IF('ORDER SHEET'!$L$20="OR","OR","-")</f>
        <v>-</v>
      </c>
      <c r="D53" s="27">
        <f>'ORDER SHEET'!$R$20</f>
        <v>1</v>
      </c>
      <c r="E53" s="28"/>
    </row>
    <row r="54" spans="1:8" ht="76" customHeight="1">
      <c r="A54" s="82"/>
      <c r="B54" s="83"/>
      <c r="C54" s="27" t="str">
        <f>'ORDER SHEET'!$M$20</f>
        <v>SILVER</v>
      </c>
      <c r="D54" s="29" t="str">
        <f>'ORDER SHEET'!$P$20</f>
        <v>R</v>
      </c>
      <c r="E54" s="41" t="str">
        <f>'ORDER SHEET'!$C$20</f>
        <v>14 OF 18</v>
      </c>
      <c r="H54" s="23"/>
    </row>
    <row r="55" spans="1:8" ht="45" customHeight="1">
      <c r="A55" s="84" t="str">
        <f>'ORDER SHEET'!$A$20</f>
        <v>BLINDS4U</v>
      </c>
      <c r="B55" s="85" t="str">
        <f>'ORDER SHEET'!$B$20</f>
        <v>Chris</v>
      </c>
      <c r="C55" s="86" t="str">
        <f>'ORDER SHEET'!$I$20 &amp; " " &amp; 'ORDER SHEET'!$J$20</f>
        <v>VIBE Terrace</v>
      </c>
      <c r="D55" s="27" t="str">
        <f>'ORDER SHEET'!$Q$20</f>
        <v>M</v>
      </c>
      <c r="E55" s="27"/>
    </row>
    <row r="56" spans="1:8" ht="116" customHeight="1">
      <c r="A56" s="84"/>
      <c r="B56" s="85"/>
      <c r="C56" s="86"/>
      <c r="D56" s="27">
        <f>'ORDER SHEET'!$O$20</f>
        <v>750</v>
      </c>
      <c r="E56" s="27" t="str">
        <f>'ORDER SHEET'!$N$20&amp;"  "&amp;"ACC"</f>
        <v>S WHITE  ACC</v>
      </c>
    </row>
    <row r="57" spans="1:8" ht="46" customHeight="1">
      <c r="A57" s="77" t="str">
        <f>'ORDER SHEET'!$E$21</f>
        <v>bed 1/1</v>
      </c>
      <c r="B57" s="78" t="str">
        <f>'ORDER SHEET'!$F$21&amp;"x"&amp;'ORDER SHEET'!$G$21</f>
        <v>960x1000</v>
      </c>
      <c r="C57" s="43" t="str">
        <f>IF('ORDER SHEET'!$L$21="OR","OR","-")</f>
        <v>-</v>
      </c>
      <c r="D57" s="24">
        <f>'ORDER SHEET'!$R$21</f>
        <v>1</v>
      </c>
      <c r="E57" s="25"/>
    </row>
    <row r="58" spans="1:8" ht="76" customHeight="1">
      <c r="A58" s="77"/>
      <c r="B58" s="78"/>
      <c r="C58" s="24" t="str">
        <f>'ORDER SHEET'!$M$21</f>
        <v>SILVER</v>
      </c>
      <c r="D58" s="26" t="str">
        <f>'ORDER SHEET'!$P$21</f>
        <v>R</v>
      </c>
      <c r="E58" s="40" t="str">
        <f>'ORDER SHEET'!$C$21</f>
        <v>15 OF 18</v>
      </c>
      <c r="H58" s="23"/>
    </row>
    <row r="59" spans="1:8" ht="45" customHeight="1">
      <c r="A59" s="79" t="str">
        <f>'ORDER SHEET'!$A$21</f>
        <v>BLINDS4U</v>
      </c>
      <c r="B59" s="80" t="str">
        <f>'ORDER SHEET'!$B$21</f>
        <v>Chris</v>
      </c>
      <c r="C59" s="81" t="str">
        <f>'ORDER SHEET'!$I$21 &amp; " " &amp; 'ORDER SHEET'!$J$21</f>
        <v>VIBE Terrace</v>
      </c>
      <c r="D59" s="24" t="str">
        <f>'ORDER SHEET'!$Q$21</f>
        <v>M</v>
      </c>
      <c r="E59" s="24"/>
    </row>
    <row r="60" spans="1:8" ht="116" customHeight="1">
      <c r="A60" s="79"/>
      <c r="B60" s="80"/>
      <c r="C60" s="81"/>
      <c r="D60" s="24">
        <f>'ORDER SHEET'!$O$21</f>
        <v>750</v>
      </c>
      <c r="E60" s="24" t="str">
        <f>'ORDER SHEET'!$N$21&amp;"  "&amp;"ACC"</f>
        <v>S WHITE  ACC</v>
      </c>
    </row>
    <row r="61" spans="1:8" ht="46" customHeight="1">
      <c r="A61" s="82" t="str">
        <f>'ORDER SHEET'!$E$22</f>
        <v>Bed 1/2</v>
      </c>
      <c r="B61" s="83" t="str">
        <f>'ORDER SHEET'!$F$22&amp;"x"&amp;'ORDER SHEET'!$G$22</f>
        <v>958x1000</v>
      </c>
      <c r="C61" s="42" t="str">
        <f>IF('ORDER SHEET'!$L$22="OR","OR","-")</f>
        <v>-</v>
      </c>
      <c r="D61" s="27">
        <f>'ORDER SHEET'!$R$22</f>
        <v>1</v>
      </c>
      <c r="E61" s="28"/>
    </row>
    <row r="62" spans="1:8" ht="76" customHeight="1">
      <c r="A62" s="82"/>
      <c r="B62" s="83"/>
      <c r="C62" s="27" t="str">
        <f>'ORDER SHEET'!$M$22</f>
        <v>SILVER</v>
      </c>
      <c r="D62" s="29" t="str">
        <f>'ORDER SHEET'!$P$22</f>
        <v>L</v>
      </c>
      <c r="E62" s="41" t="str">
        <f>'ORDER SHEET'!$C$22</f>
        <v>16 OF 18</v>
      </c>
      <c r="H62" s="23"/>
    </row>
    <row r="63" spans="1:8" ht="45" customHeight="1">
      <c r="A63" s="84" t="str">
        <f>'ORDER SHEET'!$A$22</f>
        <v>BLINDS4U</v>
      </c>
      <c r="B63" s="85" t="str">
        <f>'ORDER SHEET'!$B$22</f>
        <v>Chris</v>
      </c>
      <c r="C63" s="86" t="str">
        <f>'ORDER SHEET'!$I$22 &amp; " " &amp; 'ORDER SHEET'!$J$22</f>
        <v>VIBE Terrace</v>
      </c>
      <c r="D63" s="27" t="str">
        <f>'ORDER SHEET'!$Q$22</f>
        <v>M</v>
      </c>
      <c r="E63" s="27"/>
    </row>
    <row r="64" spans="1:8" ht="116" customHeight="1">
      <c r="A64" s="84"/>
      <c r="B64" s="85"/>
      <c r="C64" s="86"/>
      <c r="D64" s="27">
        <f>'ORDER SHEET'!$O$22</f>
        <v>750</v>
      </c>
      <c r="E64" s="27" t="str">
        <f>'ORDER SHEET'!$N$22&amp;"  "&amp;"ACC"</f>
        <v>S WHITE  ACC</v>
      </c>
    </row>
    <row r="65" spans="1:8" ht="46" customHeight="1">
      <c r="A65" s="77" t="str">
        <f>'ORDER SHEET'!$E$23</f>
        <v>Bed 2</v>
      </c>
      <c r="B65" s="78" t="str">
        <f>'ORDER SHEET'!$F$23&amp;"x"&amp;'ORDER SHEET'!$G$23</f>
        <v>1910x1200</v>
      </c>
      <c r="C65" s="24" t="str">
        <f>IF('ORDER SHEET'!$L$23="OR","OR","-")</f>
        <v>-</v>
      </c>
      <c r="D65" s="24">
        <f>'ORDER SHEET'!$R$23</f>
        <v>1</v>
      </c>
      <c r="E65" s="25"/>
    </row>
    <row r="66" spans="1:8" ht="76" customHeight="1">
      <c r="A66" s="77"/>
      <c r="B66" s="78"/>
      <c r="C66" s="24" t="str">
        <f>'ORDER SHEET'!$M$23</f>
        <v>SILVER</v>
      </c>
      <c r="D66" s="26" t="str">
        <f>'ORDER SHEET'!$P$23</f>
        <v>R</v>
      </c>
      <c r="E66" s="40" t="str">
        <f>'ORDER SHEET'!$C$23</f>
        <v>17 OF 18</v>
      </c>
      <c r="H66" s="23"/>
    </row>
    <row r="67" spans="1:8" ht="45" customHeight="1">
      <c r="A67" s="79" t="str">
        <f>'ORDER SHEET'!$A$23</f>
        <v>BLINDS4U</v>
      </c>
      <c r="B67" s="80" t="str">
        <f>'ORDER SHEET'!$B$23</f>
        <v>Chris</v>
      </c>
      <c r="C67" s="81" t="str">
        <f>'ORDER SHEET'!$I$23 &amp; " " &amp; 'ORDER SHEET'!$J$23</f>
        <v>VIBE Terrace</v>
      </c>
      <c r="D67" s="24" t="str">
        <f>'ORDER SHEET'!$Q$23</f>
        <v>M</v>
      </c>
      <c r="E67" s="24"/>
    </row>
    <row r="68" spans="1:8" ht="116" customHeight="1">
      <c r="A68" s="79"/>
      <c r="B68" s="80"/>
      <c r="C68" s="81"/>
      <c r="D68" s="24">
        <f>'ORDER SHEET'!$O$23</f>
        <v>750</v>
      </c>
      <c r="E68" s="24" t="str">
        <f>'ORDER SHEET'!$N$23&amp;"  "&amp;"ACC"</f>
        <v>S WHITE  ACC</v>
      </c>
    </row>
    <row r="69" spans="1:8" ht="46" customHeight="1">
      <c r="A69" s="82" t="str">
        <f>'ORDER SHEET'!$E$24</f>
        <v>Door</v>
      </c>
      <c r="B69" s="83" t="str">
        <f>'ORDER SHEET'!$F$24&amp;"x"&amp;'ORDER SHEET'!$G$24</f>
        <v>397x2100</v>
      </c>
      <c r="C69" s="42" t="str">
        <f>IF('ORDER SHEET'!$L$24="OR","OR","-")</f>
        <v>-</v>
      </c>
      <c r="D69" s="27">
        <f>'ORDER SHEET'!$R$24</f>
        <v>1</v>
      </c>
      <c r="E69" s="28"/>
    </row>
    <row r="70" spans="1:8" ht="76" customHeight="1">
      <c r="A70" s="82"/>
      <c r="B70" s="83"/>
      <c r="C70" s="27" t="str">
        <f>'ORDER SHEET'!$M$24</f>
        <v>SILVER</v>
      </c>
      <c r="D70" s="29" t="str">
        <f>'ORDER SHEET'!$P$24</f>
        <v>L</v>
      </c>
      <c r="E70" s="41" t="str">
        <f>'ORDER SHEET'!$C$24</f>
        <v>18 OF 18</v>
      </c>
      <c r="H70" s="23"/>
    </row>
    <row r="71" spans="1:8" ht="45" customHeight="1">
      <c r="A71" s="84" t="str">
        <f>'ORDER SHEET'!$A$24</f>
        <v>BLINDS4U</v>
      </c>
      <c r="B71" s="85" t="str">
        <f>'ORDER SHEET'!$B$24</f>
        <v>Chris</v>
      </c>
      <c r="C71" s="86" t="str">
        <f>'ORDER SHEET'!$I$24 &amp; " " &amp; 'ORDER SHEET'!$J$24</f>
        <v>VIBE Terrace</v>
      </c>
      <c r="D71" s="27" t="str">
        <f>'ORDER SHEET'!$Q$24</f>
        <v>M</v>
      </c>
      <c r="E71" s="27"/>
    </row>
    <row r="72" spans="1:8" ht="116" customHeight="1">
      <c r="A72" s="84"/>
      <c r="B72" s="85"/>
      <c r="C72" s="86"/>
      <c r="D72" s="27">
        <f>'ORDER SHEET'!$O$24</f>
        <v>750</v>
      </c>
      <c r="E72" s="27" t="str">
        <f>'ORDER SHEET'!$N$24&amp;"  "&amp;"ACC"</f>
        <v>S WHITE  ACC</v>
      </c>
    </row>
    <row r="73" spans="1:8" ht="46" customHeight="1">
      <c r="A73" s="77">
        <f>'ORDER SHEET'!$E$25</f>
        <v>0</v>
      </c>
      <c r="B73" s="78" t="str">
        <f>'ORDER SHEET'!$F$25&amp;"x"&amp;'ORDER SHEET'!$G$25</f>
        <v>x</v>
      </c>
      <c r="C73" s="43" t="str">
        <f>IF('ORDER SHEET'!$L$25="OR","OR","-")</f>
        <v>-</v>
      </c>
      <c r="D73" s="24">
        <f>'ORDER SHEET'!$R$25</f>
        <v>0</v>
      </c>
      <c r="E73" s="25"/>
    </row>
    <row r="74" spans="1:8" ht="76" customHeight="1">
      <c r="A74" s="77"/>
      <c r="B74" s="78"/>
      <c r="C74" s="24">
        <f>'ORDER SHEET'!$M$25</f>
        <v>0</v>
      </c>
      <c r="D74" s="26">
        <f>'ORDER SHEET'!$P$25</f>
        <v>0</v>
      </c>
      <c r="E74" s="40">
        <f>'ORDER SHEET'!$C$25</f>
        <v>0</v>
      </c>
      <c r="H74" s="23"/>
    </row>
    <row r="75" spans="1:8" ht="45" customHeight="1">
      <c r="A75" s="79" t="str">
        <f>'ORDER SHEET'!$A$25</f>
        <v>BLINDS4U</v>
      </c>
      <c r="B75" s="80" t="str">
        <f>'ORDER SHEET'!$B$25</f>
        <v>Chris</v>
      </c>
      <c r="C75" s="81" t="str">
        <f>'ORDER SHEET'!$I$25 &amp; " " &amp; 'ORDER SHEET'!$J$25</f>
        <v xml:space="preserve">2X RHS SLIMLINE COMBOS </v>
      </c>
      <c r="D75" s="24">
        <f>'ORDER SHEET'!$Q$25</f>
        <v>0</v>
      </c>
      <c r="E75" s="24"/>
    </row>
    <row r="76" spans="1:8" ht="116" customHeight="1">
      <c r="A76" s="79"/>
      <c r="B76" s="80"/>
      <c r="C76" s="81"/>
      <c r="D76" s="24">
        <f>'ORDER SHEET'!$O$25</f>
        <v>0</v>
      </c>
      <c r="E76" s="24" t="str">
        <f>'ORDER SHEET'!$N$25&amp;"  "&amp;"ACC"</f>
        <v xml:space="preserve">  ACC</v>
      </c>
    </row>
    <row r="77" spans="1:8" ht="46" customHeight="1">
      <c r="A77" s="82">
        <f>'ORDER SHEET'!$E$26</f>
        <v>0</v>
      </c>
      <c r="B77" s="83" t="str">
        <f>'ORDER SHEET'!$F$26&amp;"x"&amp;'ORDER SHEET'!$G$26</f>
        <v>x</v>
      </c>
      <c r="C77" s="42" t="str">
        <f>IF('ORDER SHEET'!$L$26="OR","OR","-")</f>
        <v>-</v>
      </c>
      <c r="D77" s="27">
        <f>'ORDER SHEET'!$R$26</f>
        <v>0</v>
      </c>
      <c r="E77" s="28"/>
    </row>
    <row r="78" spans="1:8" ht="76" customHeight="1">
      <c r="A78" s="82"/>
      <c r="B78" s="83"/>
      <c r="C78" s="27">
        <f>'ORDER SHEET'!$M$26</f>
        <v>0</v>
      </c>
      <c r="D78" s="29">
        <f>'ORDER SHEET'!$P$26</f>
        <v>0</v>
      </c>
      <c r="E78" s="39">
        <f>'ORDER SHEET'!$C$26</f>
        <v>0</v>
      </c>
      <c r="H78" s="23"/>
    </row>
    <row r="79" spans="1:8" ht="45" customHeight="1">
      <c r="A79" s="84" t="str">
        <f>'ORDER SHEET'!$A$26</f>
        <v>BLINDS4U</v>
      </c>
      <c r="B79" s="85" t="str">
        <f>'ORDER SHEET'!$B$26</f>
        <v>Chris</v>
      </c>
      <c r="C79" s="86" t="str">
        <f>'ORDER SHEET'!$I$26 &amp; " " &amp; 'ORDER SHEET'!$J$26</f>
        <v xml:space="preserve">14X S WHITE BRACKETS </v>
      </c>
      <c r="D79" s="27">
        <f>'ORDER SHEET'!$Q$26</f>
        <v>0</v>
      </c>
      <c r="E79" s="27"/>
    </row>
    <row r="80" spans="1:8" ht="116" customHeight="1">
      <c r="A80" s="84"/>
      <c r="B80" s="85"/>
      <c r="C80" s="86"/>
      <c r="D80" s="27">
        <f>'ORDER SHEET'!$O$26</f>
        <v>0</v>
      </c>
      <c r="E80" s="27" t="str">
        <f>'ORDER SHEET'!$N$26&amp;"  "&amp;"ACC"</f>
        <v xml:space="preserve">  ACC</v>
      </c>
    </row>
    <row r="81" spans="1:8" ht="46" customHeight="1">
      <c r="A81" s="77" t="str">
        <f>'ORDER SHEET'!$E$27</f>
        <v>BED1</v>
      </c>
      <c r="B81" s="78" t="str">
        <f>'ORDER SHEET'!$F$27&amp;"x"&amp;'ORDER SHEET'!$G$27</f>
        <v>2407x2100</v>
      </c>
      <c r="C81" s="43" t="str">
        <f>IF('ORDER SHEET'!$L$27="OR","OR","-")</f>
        <v>OR</v>
      </c>
      <c r="D81" s="24">
        <f>'ORDER SHEET'!$R$27</f>
        <v>1</v>
      </c>
      <c r="E81" s="25"/>
    </row>
    <row r="82" spans="1:8" ht="76" customHeight="1">
      <c r="A82" s="77"/>
      <c r="B82" s="78"/>
      <c r="C82" s="24" t="str">
        <f>'ORDER SHEET'!$M$27</f>
        <v>WHITE</v>
      </c>
      <c r="D82" s="26" t="str">
        <f>'ORDER SHEET'!$P$27</f>
        <v>L</v>
      </c>
      <c r="E82" s="37" t="str">
        <f>'ORDER SHEET'!$C$27</f>
        <v>1 OF 1</v>
      </c>
      <c r="H82" s="23"/>
    </row>
    <row r="83" spans="1:8" ht="45" customHeight="1">
      <c r="A83" s="79" t="str">
        <f>'ORDER SHEET'!$A$27</f>
        <v>BLINDS4U</v>
      </c>
      <c r="B83" s="80" t="str">
        <f>'ORDER SHEET'!$B$27</f>
        <v>Joanne</v>
      </c>
      <c r="C83" s="81" t="str">
        <f>'ORDER SHEET'!$I$27 &amp; " " &amp; 'ORDER SHEET'!$J$27</f>
        <v>VIBE BIRCH</v>
      </c>
      <c r="D83" s="24" t="str">
        <f>'ORDER SHEET'!$Q$27</f>
        <v>M</v>
      </c>
      <c r="E83" s="24"/>
    </row>
    <row r="84" spans="1:8" ht="116" customHeight="1">
      <c r="A84" s="79"/>
      <c r="B84" s="80"/>
      <c r="C84" s="81"/>
      <c r="D84" s="24">
        <f>'ORDER SHEET'!$O$27</f>
        <v>1000</v>
      </c>
      <c r="E84" s="24" t="str">
        <f>'ORDER SHEET'!$N$27&amp;"  "&amp;"ACC"</f>
        <v>S WHITE  ACC</v>
      </c>
    </row>
    <row r="85" spans="1:8" ht="46" customHeight="1">
      <c r="A85" s="82" t="str">
        <f>'ORDER SHEET'!$E$28</f>
        <v>Bedroom</v>
      </c>
      <c r="B85" s="83" t="str">
        <f>'ORDER SHEET'!$F$28&amp;"x"&amp;'ORDER SHEET'!$G$28</f>
        <v>1448x1500</v>
      </c>
      <c r="C85" s="42" t="str">
        <f>IF('ORDER SHEET'!$L$28="OR","OR","-")</f>
        <v>-</v>
      </c>
      <c r="D85" s="27">
        <f>'ORDER SHEET'!$R$28</f>
        <v>1</v>
      </c>
      <c r="E85" s="28"/>
    </row>
    <row r="86" spans="1:8" ht="76" customHeight="1">
      <c r="A86" s="82"/>
      <c r="B86" s="83"/>
      <c r="C86" s="27" t="str">
        <f>'ORDER SHEET'!$M$28</f>
        <v>SILVER</v>
      </c>
      <c r="D86" s="29" t="str">
        <f>'ORDER SHEET'!$P$28</f>
        <v>L</v>
      </c>
      <c r="E86" s="41" t="str">
        <f>'ORDER SHEET'!$C$28</f>
        <v>1 OF 1</v>
      </c>
      <c r="H86" s="23"/>
    </row>
    <row r="87" spans="1:8" ht="45" customHeight="1">
      <c r="A87" s="84" t="str">
        <f>'ORDER SHEET'!$A$28</f>
        <v>Bayview Blinds</v>
      </c>
      <c r="B87" s="85" t="str">
        <f>'ORDER SHEET'!$B$28</f>
        <v>Edithvale</v>
      </c>
      <c r="C87" s="86" t="str">
        <f>'ORDER SHEET'!$I$28 &amp; " " &amp; 'ORDER SHEET'!$J$28</f>
        <v>VIBE CLOUD</v>
      </c>
      <c r="D87" s="27" t="str">
        <f>'ORDER SHEET'!$Q$28</f>
        <v>M</v>
      </c>
      <c r="E87" s="27"/>
    </row>
    <row r="88" spans="1:8" ht="116" customHeight="1">
      <c r="A88" s="84"/>
      <c r="B88" s="85"/>
      <c r="C88" s="86"/>
      <c r="D88" s="27">
        <f>'ORDER SHEET'!$O$28</f>
        <v>1250</v>
      </c>
      <c r="E88" s="27" t="str">
        <f>'ORDER SHEET'!$N$28&amp;"  "&amp;"ACC"</f>
        <v>S WHITE  ACC</v>
      </c>
    </row>
    <row r="89" spans="1:8" ht="46" customHeight="1">
      <c r="A89" s="77" t="str">
        <f>'ORDER SHEET'!$E$29</f>
        <v>Dining</v>
      </c>
      <c r="B89" s="78" t="str">
        <f>'ORDER SHEET'!$F$29&amp;"x"&amp;'ORDER SHEET'!$G$29</f>
        <v>1673x2400</v>
      </c>
      <c r="C89" s="43" t="str">
        <f>IF('ORDER SHEET'!$L$29="OR","OR","-")</f>
        <v>-</v>
      </c>
      <c r="D89" s="24">
        <f>'ORDER SHEET'!$R$29</f>
        <v>1</v>
      </c>
      <c r="E89" s="25"/>
    </row>
    <row r="90" spans="1:8" ht="76" customHeight="1">
      <c r="A90" s="77"/>
      <c r="B90" s="78"/>
      <c r="C90" s="24" t="str">
        <f>'ORDER SHEET'!$M$29</f>
        <v>SILVER</v>
      </c>
      <c r="D90" s="26" t="str">
        <f>'ORDER SHEET'!$P$29</f>
        <v>L</v>
      </c>
      <c r="E90" s="40" t="str">
        <f>'ORDER SHEET'!$C$29</f>
        <v>1 OF 7</v>
      </c>
      <c r="H90" s="23"/>
    </row>
    <row r="91" spans="1:8" ht="45" customHeight="1">
      <c r="A91" s="79" t="str">
        <f>'ORDER SHEET'!$A$29</f>
        <v>Bayview Blinds</v>
      </c>
      <c r="B91" s="80" t="str">
        <f>'ORDER SHEET'!$B$29</f>
        <v>Bay street</v>
      </c>
      <c r="C91" s="81" t="str">
        <f>'ORDER SHEET'!$I$29 &amp; " " &amp; 'ORDER SHEET'!$J$29</f>
        <v>SOLARCOOL 5% WHITE</v>
      </c>
      <c r="D91" s="24" t="str">
        <f>'ORDER SHEET'!$Q$29</f>
        <v>M</v>
      </c>
      <c r="E91" s="24"/>
    </row>
    <row r="92" spans="1:8" ht="116" customHeight="1">
      <c r="A92" s="79"/>
      <c r="B92" s="80"/>
      <c r="C92" s="81"/>
      <c r="D92" s="24">
        <f>'ORDER SHEET'!$O$29</f>
        <v>1500</v>
      </c>
      <c r="E92" s="24" t="str">
        <f>'ORDER SHEET'!$N$29&amp;"  "&amp;"ACC"</f>
        <v>S WHITE  ACC</v>
      </c>
    </row>
    <row r="93" spans="1:8" ht="46" customHeight="1">
      <c r="A93" s="82" t="str">
        <f>'ORDER SHEET'!$E$30</f>
        <v>Dining</v>
      </c>
      <c r="B93" s="83" t="str">
        <f>'ORDER SHEET'!$F$30&amp;"x"&amp;'ORDER SHEET'!$G$30</f>
        <v>1673x2400</v>
      </c>
      <c r="C93" s="42" t="str">
        <f>IF('ORDER SHEET'!$L$30="OR","OR","-")</f>
        <v>-</v>
      </c>
      <c r="D93" s="27">
        <f>'ORDER SHEET'!$R$30</f>
        <v>1</v>
      </c>
      <c r="E93" s="28"/>
    </row>
    <row r="94" spans="1:8" ht="76" customHeight="1">
      <c r="A94" s="82"/>
      <c r="B94" s="83"/>
      <c r="C94" s="27" t="str">
        <f>'ORDER SHEET'!$M$30</f>
        <v>SILVER</v>
      </c>
      <c r="D94" s="29" t="str">
        <f>'ORDER SHEET'!$P$30</f>
        <v>R</v>
      </c>
      <c r="E94" s="41" t="str">
        <f>'ORDER SHEET'!$C$30</f>
        <v>2 OF 7</v>
      </c>
      <c r="H94" s="23"/>
    </row>
    <row r="95" spans="1:8" ht="45" customHeight="1">
      <c r="A95" s="84" t="str">
        <f>'ORDER SHEET'!$A$30</f>
        <v>Bayview Blinds</v>
      </c>
      <c r="B95" s="85" t="str">
        <f>'ORDER SHEET'!$B$30</f>
        <v>Bay street</v>
      </c>
      <c r="C95" s="86" t="str">
        <f>'ORDER SHEET'!$I$30 &amp; " " &amp; 'ORDER SHEET'!$J$30</f>
        <v>SOLARCOOL 5% WHITE</v>
      </c>
      <c r="D95" s="27" t="str">
        <f>'ORDER SHEET'!$Q$30</f>
        <v>M</v>
      </c>
      <c r="E95" s="27"/>
    </row>
    <row r="96" spans="1:8" ht="116" customHeight="1">
      <c r="A96" s="84"/>
      <c r="B96" s="85"/>
      <c r="C96" s="86"/>
      <c r="D96" s="27">
        <f>'ORDER SHEET'!$O$30</f>
        <v>1500</v>
      </c>
      <c r="E96" s="27" t="str">
        <f>'ORDER SHEET'!$N$30&amp;"  "&amp;"ACC"</f>
        <v>S WHITE  ACC</v>
      </c>
    </row>
    <row r="97" spans="1:8" ht="46" customHeight="1">
      <c r="A97" s="77" t="str">
        <f>'ORDER SHEET'!$E$31</f>
        <v>Lounge</v>
      </c>
      <c r="B97" s="78" t="str">
        <f>'ORDER SHEET'!$F$31&amp;"x"&amp;'ORDER SHEET'!$G$31</f>
        <v>1670x2400</v>
      </c>
      <c r="C97" s="43" t="str">
        <f>IF('ORDER SHEET'!$L$31="OR","OR","-")</f>
        <v>-</v>
      </c>
      <c r="D97" s="24">
        <f>'ORDER SHEET'!$R$31</f>
        <v>1</v>
      </c>
      <c r="E97" s="25"/>
    </row>
    <row r="98" spans="1:8" ht="76" customHeight="1">
      <c r="A98" s="77"/>
      <c r="B98" s="78"/>
      <c r="C98" s="24" t="str">
        <f>'ORDER SHEET'!$M$31</f>
        <v>SILVER</v>
      </c>
      <c r="D98" s="26" t="str">
        <f>'ORDER SHEET'!$P$31</f>
        <v>L</v>
      </c>
      <c r="E98" s="40" t="str">
        <f>'ORDER SHEET'!$C$31</f>
        <v>3 OF 7</v>
      </c>
      <c r="H98" s="23"/>
    </row>
    <row r="99" spans="1:8" ht="45" customHeight="1">
      <c r="A99" s="79" t="str">
        <f>'ORDER SHEET'!$A$31</f>
        <v>Bayview Blinds</v>
      </c>
      <c r="B99" s="80" t="str">
        <f>'ORDER SHEET'!$B$31</f>
        <v>Bay street</v>
      </c>
      <c r="C99" s="81" t="str">
        <f>'ORDER SHEET'!$I$31 &amp; " " &amp; 'ORDER SHEET'!$J$31</f>
        <v>SOLARCOOL 5% WHITE</v>
      </c>
      <c r="D99" s="24" t="str">
        <f>'ORDER SHEET'!$Q$31</f>
        <v>M</v>
      </c>
      <c r="E99" s="24"/>
    </row>
    <row r="100" spans="1:8" ht="116" customHeight="1">
      <c r="A100" s="79"/>
      <c r="B100" s="80"/>
      <c r="C100" s="81"/>
      <c r="D100" s="24">
        <f>'ORDER SHEET'!$O$31</f>
        <v>1500</v>
      </c>
      <c r="E100" s="24" t="str">
        <f>'ORDER SHEET'!$N$31&amp;"  "&amp;"ACC"</f>
        <v>S WHITE  ACC</v>
      </c>
    </row>
    <row r="101" spans="1:8" ht="46" customHeight="1">
      <c r="A101" s="82" t="str">
        <f>'ORDER SHEET'!$E$32</f>
        <v>Lounge</v>
      </c>
      <c r="B101" s="83" t="str">
        <f>'ORDER SHEET'!$F$32&amp;"x"&amp;'ORDER SHEET'!$G$32</f>
        <v>1670x2400</v>
      </c>
      <c r="C101" s="42" t="str">
        <f>IF('ORDER SHEET'!$L$32="OR","OR","-")</f>
        <v>-</v>
      </c>
      <c r="D101" s="27">
        <f>'ORDER SHEET'!$R$32</f>
        <v>1</v>
      </c>
      <c r="E101" s="28"/>
    </row>
    <row r="102" spans="1:8" ht="76" customHeight="1">
      <c r="A102" s="82"/>
      <c r="B102" s="83"/>
      <c r="C102" s="27" t="str">
        <f>'ORDER SHEET'!$M$32</f>
        <v>SILVER</v>
      </c>
      <c r="D102" s="29" t="str">
        <f>'ORDER SHEET'!$P$32</f>
        <v>R</v>
      </c>
      <c r="E102" s="41" t="str">
        <f>'ORDER SHEET'!$C$32</f>
        <v>4 OF 7</v>
      </c>
      <c r="H102" s="23"/>
    </row>
    <row r="103" spans="1:8" ht="45" customHeight="1">
      <c r="A103" s="84" t="str">
        <f>'ORDER SHEET'!$A$32</f>
        <v>Bayview Blinds</v>
      </c>
      <c r="B103" s="85" t="str">
        <f>'ORDER SHEET'!$B$32</f>
        <v>Bay street</v>
      </c>
      <c r="C103" s="86" t="str">
        <f>'ORDER SHEET'!$I$32 &amp; " " &amp; 'ORDER SHEET'!$J$32</f>
        <v>SOLARCOOL 5% WHITE</v>
      </c>
      <c r="D103" s="27" t="str">
        <f>'ORDER SHEET'!$Q$32</f>
        <v>M</v>
      </c>
      <c r="E103" s="27"/>
    </row>
    <row r="104" spans="1:8" ht="116" customHeight="1">
      <c r="A104" s="84"/>
      <c r="B104" s="85"/>
      <c r="C104" s="86"/>
      <c r="D104" s="27">
        <f>'ORDER SHEET'!$O$32</f>
        <v>1500</v>
      </c>
      <c r="E104" s="27" t="str">
        <f>'ORDER SHEET'!$N$32&amp;"  "&amp;"ACC"</f>
        <v>S WHITE  ACC</v>
      </c>
    </row>
    <row r="105" spans="1:8" ht="46" customHeight="1">
      <c r="A105" s="77" t="str">
        <f>'ORDER SHEET'!$E$33</f>
        <v>Bedroom 1</v>
      </c>
      <c r="B105" s="78" t="str">
        <f>'ORDER SHEET'!$F$33&amp;"x"&amp;'ORDER SHEET'!$G$33</f>
        <v>1915x2400</v>
      </c>
      <c r="C105" s="43" t="str">
        <f>IF('ORDER SHEET'!$L$33="OR","OR","-")</f>
        <v>-</v>
      </c>
      <c r="D105" s="24">
        <f>'ORDER SHEET'!$R$33</f>
        <v>1</v>
      </c>
      <c r="E105" s="25"/>
    </row>
    <row r="106" spans="1:8" ht="76" customHeight="1">
      <c r="A106" s="77"/>
      <c r="B106" s="78"/>
      <c r="C106" s="24" t="str">
        <f>'ORDER SHEET'!$M$33</f>
        <v>SILVER</v>
      </c>
      <c r="D106" s="26" t="str">
        <f>'ORDER SHEET'!$P$33</f>
        <v>L</v>
      </c>
      <c r="E106" s="40" t="str">
        <f>'ORDER SHEET'!$C$33</f>
        <v>5 OF 7</v>
      </c>
      <c r="H106" s="23"/>
    </row>
    <row r="107" spans="1:8" ht="45" customHeight="1">
      <c r="A107" s="79" t="str">
        <f>'ORDER SHEET'!$A$33</f>
        <v>Bayview Blinds</v>
      </c>
      <c r="B107" s="80" t="str">
        <f>'ORDER SHEET'!$B$33</f>
        <v>Bay street</v>
      </c>
      <c r="C107" s="81" t="str">
        <f>'ORDER SHEET'!$I$33 &amp; " " &amp; 'ORDER SHEET'!$J$33</f>
        <v>VIBE CLOUD</v>
      </c>
      <c r="D107" s="24" t="str">
        <f>'ORDER SHEET'!$Q$33</f>
        <v>M</v>
      </c>
      <c r="E107" s="24"/>
    </row>
    <row r="108" spans="1:8" ht="116" customHeight="1">
      <c r="A108" s="79"/>
      <c r="B108" s="80"/>
      <c r="C108" s="81"/>
      <c r="D108" s="24">
        <f>'ORDER SHEET'!$O$33</f>
        <v>1500</v>
      </c>
      <c r="E108" s="24" t="str">
        <f>'ORDER SHEET'!$N$33&amp;"  "&amp;"ACC"</f>
        <v>S WHITE  ACC</v>
      </c>
    </row>
    <row r="109" spans="1:8" ht="46" customHeight="1">
      <c r="A109" s="82" t="str">
        <f>'ORDER SHEET'!$E$34</f>
        <v>Bedroom 2</v>
      </c>
      <c r="B109" s="83" t="str">
        <f>'ORDER SHEET'!$F$34&amp;"x"&amp;'ORDER SHEET'!$G$34</f>
        <v>1020x2400</v>
      </c>
      <c r="C109" s="42" t="str">
        <f>IF('ORDER SHEET'!$L$34="OR","OR","-")</f>
        <v>-</v>
      </c>
      <c r="D109" s="27">
        <f>'ORDER SHEET'!$R$34</f>
        <v>1</v>
      </c>
      <c r="E109" s="28"/>
    </row>
    <row r="110" spans="1:8" ht="76" customHeight="1">
      <c r="A110" s="82"/>
      <c r="B110" s="83"/>
      <c r="C110" s="27" t="str">
        <f>'ORDER SHEET'!$M$34</f>
        <v>SILVER</v>
      </c>
      <c r="D110" s="29" t="str">
        <f>'ORDER SHEET'!$P$34</f>
        <v>L</v>
      </c>
      <c r="E110" s="41" t="str">
        <f>'ORDER SHEET'!$C$34</f>
        <v>6 OF 7</v>
      </c>
      <c r="H110" s="23"/>
    </row>
    <row r="111" spans="1:8" ht="45" customHeight="1">
      <c r="A111" s="84" t="str">
        <f>'ORDER SHEET'!$A$34</f>
        <v>Bayview Blinds</v>
      </c>
      <c r="B111" s="85" t="str">
        <f>'ORDER SHEET'!$B$34</f>
        <v>Bay street</v>
      </c>
      <c r="C111" s="86" t="str">
        <f>'ORDER SHEET'!$I$34 &amp; " " &amp; 'ORDER SHEET'!$J$34</f>
        <v>VIBE CLOUD</v>
      </c>
      <c r="D111" s="27" t="str">
        <f>'ORDER SHEET'!$Q$34</f>
        <v>M</v>
      </c>
      <c r="E111" s="27"/>
    </row>
    <row r="112" spans="1:8" ht="116" customHeight="1">
      <c r="A112" s="84"/>
      <c r="B112" s="85"/>
      <c r="C112" s="86"/>
      <c r="D112" s="27">
        <f>'ORDER SHEET'!$O$34</f>
        <v>1500</v>
      </c>
      <c r="E112" s="27" t="str">
        <f>'ORDER SHEET'!$N$34&amp;"  "&amp;"ACC"</f>
        <v>S WHITE  ACC</v>
      </c>
    </row>
    <row r="113" spans="1:8" ht="46" customHeight="1">
      <c r="A113" s="77" t="str">
        <f>'ORDER SHEET'!$E$35</f>
        <v>Bedroom 2</v>
      </c>
      <c r="B113" s="78" t="str">
        <f>'ORDER SHEET'!$F$35&amp;"x"&amp;'ORDER SHEET'!$G$35</f>
        <v>1020x2400</v>
      </c>
      <c r="C113" s="43" t="str">
        <f>IF('ORDER SHEET'!$L$35="OR","OR","-")</f>
        <v>-</v>
      </c>
      <c r="D113" s="24">
        <f>'ORDER SHEET'!$R$35</f>
        <v>1</v>
      </c>
      <c r="E113" s="25"/>
    </row>
    <row r="114" spans="1:8" ht="76" customHeight="1">
      <c r="A114" s="77"/>
      <c r="B114" s="78"/>
      <c r="C114" s="24" t="str">
        <f>'ORDER SHEET'!$M$35</f>
        <v>SILVER</v>
      </c>
      <c r="D114" s="26" t="str">
        <f>'ORDER SHEET'!$P$35</f>
        <v>R</v>
      </c>
      <c r="E114" s="40" t="str">
        <f>'ORDER SHEET'!$C$35</f>
        <v>7 OF 7</v>
      </c>
      <c r="H114" s="23"/>
    </row>
    <row r="115" spans="1:8" ht="45" customHeight="1">
      <c r="A115" s="79" t="str">
        <f>'ORDER SHEET'!$A$35</f>
        <v>Bayview Blinds</v>
      </c>
      <c r="B115" s="80" t="str">
        <f>'ORDER SHEET'!$B$35</f>
        <v>Bay street</v>
      </c>
      <c r="C115" s="81" t="str">
        <f>'ORDER SHEET'!$I$35 &amp; " " &amp; 'ORDER SHEET'!$J$35</f>
        <v>VIBE CLOUD</v>
      </c>
      <c r="D115" s="24" t="str">
        <f>'ORDER SHEET'!$Q$35</f>
        <v>M</v>
      </c>
      <c r="E115" s="24"/>
    </row>
    <row r="116" spans="1:8" ht="116" customHeight="1">
      <c r="A116" s="79"/>
      <c r="B116" s="80"/>
      <c r="C116" s="81"/>
      <c r="D116" s="24">
        <f>'ORDER SHEET'!$O$35</f>
        <v>1500</v>
      </c>
      <c r="E116" s="24" t="str">
        <f>'ORDER SHEET'!$N$35&amp;"  "&amp;"ACC"</f>
        <v>S WHITE  ACC</v>
      </c>
    </row>
    <row r="117" spans="1:8" ht="46" customHeight="1">
      <c r="A117" s="82">
        <f>'ORDER SHEET'!$E$36</f>
        <v>0</v>
      </c>
      <c r="B117" s="83" t="str">
        <f>'ORDER SHEET'!$F$36&amp;"x"&amp;'ORDER SHEET'!$G$36</f>
        <v>x</v>
      </c>
      <c r="C117" s="42" t="str">
        <f>IF('ORDER SHEET'!$L$36="OR","OR","-")</f>
        <v>-</v>
      </c>
      <c r="D117" s="27">
        <f>'ORDER SHEET'!$R$36</f>
        <v>0</v>
      </c>
      <c r="E117" s="28"/>
    </row>
    <row r="118" spans="1:8" ht="76" customHeight="1">
      <c r="A118" s="82"/>
      <c r="B118" s="83"/>
      <c r="C118" s="27">
        <f>'ORDER SHEET'!$M$36</f>
        <v>0</v>
      </c>
      <c r="D118" s="29">
        <f>'ORDER SHEET'!$P$36</f>
        <v>0</v>
      </c>
      <c r="E118" s="42">
        <f>'ORDER SHEET'!$C$36</f>
        <v>0</v>
      </c>
      <c r="H118" s="23"/>
    </row>
    <row r="119" spans="1:8" ht="45" customHeight="1">
      <c r="A119" s="84" t="str">
        <f>'ORDER SHEET'!$A$36</f>
        <v>Bayview Blinds</v>
      </c>
      <c r="B119" s="85" t="str">
        <f>'ORDER SHEET'!$B$36</f>
        <v>Bay street</v>
      </c>
      <c r="C119" s="86" t="str">
        <f>'ORDER SHEET'!$I$36 &amp; " " &amp; 'ORDER SHEET'!$J$36</f>
        <v xml:space="preserve">7X S WHITE BRACKETS </v>
      </c>
      <c r="D119" s="27">
        <f>'ORDER SHEET'!$Q$36</f>
        <v>0</v>
      </c>
      <c r="E119" s="27"/>
    </row>
    <row r="120" spans="1:8" ht="116" customHeight="1">
      <c r="A120" s="84"/>
      <c r="B120" s="85"/>
      <c r="C120" s="86"/>
      <c r="D120" s="27">
        <f>'ORDER SHEET'!$O$36</f>
        <v>0</v>
      </c>
      <c r="E120" s="27" t="str">
        <f>'ORDER SHEET'!$N$36&amp;"  "&amp;"ACC"</f>
        <v xml:space="preserve">  ACC</v>
      </c>
    </row>
    <row r="121" spans="1:8" ht="46" customHeight="1">
      <c r="A121" s="77">
        <f>'ORDER SHEET'!$E$37</f>
        <v>0</v>
      </c>
      <c r="B121" s="78" t="str">
        <f>'ORDER SHEET'!$F$37&amp;"x"&amp;'ORDER SHEET'!$G$37</f>
        <v>x</v>
      </c>
      <c r="C121" s="43" t="str">
        <f>IF('ORDER SHEET'!$L$37="OR","OR","-")</f>
        <v>-</v>
      </c>
      <c r="D121" s="24">
        <f>'ORDER SHEET'!$R$37</f>
        <v>0</v>
      </c>
      <c r="E121" s="25"/>
    </row>
    <row r="122" spans="1:8" ht="76" customHeight="1">
      <c r="A122" s="77"/>
      <c r="B122" s="78"/>
      <c r="C122" s="24">
        <f>'ORDER SHEET'!$M$37</f>
        <v>0</v>
      </c>
      <c r="D122" s="26">
        <f>'ORDER SHEET'!$P$37</f>
        <v>0</v>
      </c>
      <c r="E122" s="43">
        <f>'ORDER SHEET'!$C$37</f>
        <v>0</v>
      </c>
      <c r="H122" s="23"/>
    </row>
    <row r="123" spans="1:8" ht="45" customHeight="1">
      <c r="A123" s="79">
        <f>'ORDER SHEET'!$A$37</f>
        <v>0</v>
      </c>
      <c r="B123" s="80">
        <f>'ORDER SHEET'!$B$37</f>
        <v>0</v>
      </c>
      <c r="C123" s="81" t="str">
        <f>'ORDER SHEET'!$I$37 &amp; " " &amp; 'ORDER SHEET'!$J$37</f>
        <v xml:space="preserve"> </v>
      </c>
      <c r="D123" s="24">
        <f>'ORDER SHEET'!$Q$37</f>
        <v>0</v>
      </c>
      <c r="E123" s="24"/>
    </row>
    <row r="124" spans="1:8" ht="116" customHeight="1">
      <c r="A124" s="79"/>
      <c r="B124" s="80"/>
      <c r="C124" s="81"/>
      <c r="D124" s="24">
        <f>'ORDER SHEET'!$O$37</f>
        <v>0</v>
      </c>
      <c r="E124" s="24" t="str">
        <f>'ORDER SHEET'!$N$37&amp;"  "&amp;"ACC"</f>
        <v xml:space="preserve">  ACC</v>
      </c>
    </row>
    <row r="125" spans="1:8" ht="46" customHeight="1"/>
    <row r="126" spans="1:8" ht="76" customHeight="1">
      <c r="C126" s="23"/>
    </row>
    <row r="127" spans="1:8" ht="45" customHeight="1"/>
    <row r="128" spans="1:8" ht="116" customHeight="1"/>
  </sheetData>
  <mergeCells count="155">
    <mergeCell ref="C7:C8"/>
    <mergeCell ref="A25:A26"/>
    <mergeCell ref="B25:B26"/>
    <mergeCell ref="B1:B2"/>
    <mergeCell ref="B5:B6"/>
    <mergeCell ref="A1:A2"/>
    <mergeCell ref="A7:A8"/>
    <mergeCell ref="B7:B8"/>
    <mergeCell ref="A15:A16"/>
    <mergeCell ref="B15:B16"/>
    <mergeCell ref="A5:A6"/>
    <mergeCell ref="A9:A10"/>
    <mergeCell ref="A13:A14"/>
    <mergeCell ref="A17:A18"/>
    <mergeCell ref="B17:B18"/>
    <mergeCell ref="A19:A20"/>
    <mergeCell ref="B19:B20"/>
    <mergeCell ref="C19:C20"/>
    <mergeCell ref="A3:A4"/>
    <mergeCell ref="B3:B4"/>
    <mergeCell ref="C3:C4"/>
    <mergeCell ref="C15:C16"/>
    <mergeCell ref="B9:B10"/>
    <mergeCell ref="A27:A28"/>
    <mergeCell ref="B27:B28"/>
    <mergeCell ref="C27:C28"/>
    <mergeCell ref="A21:A22"/>
    <mergeCell ref="B21:B22"/>
    <mergeCell ref="A23:A24"/>
    <mergeCell ref="B23:B24"/>
    <mergeCell ref="C23:C24"/>
    <mergeCell ref="A11:A12"/>
    <mergeCell ref="B11:B12"/>
    <mergeCell ref="C11:C12"/>
    <mergeCell ref="B13:B14"/>
    <mergeCell ref="A33:A34"/>
    <mergeCell ref="B33:B34"/>
    <mergeCell ref="A35:A36"/>
    <mergeCell ref="B35:B36"/>
    <mergeCell ref="C35:C36"/>
    <mergeCell ref="A29:A30"/>
    <mergeCell ref="B29:B30"/>
    <mergeCell ref="A31:A32"/>
    <mergeCell ref="B31:B32"/>
    <mergeCell ref="C31:C32"/>
    <mergeCell ref="A41:A42"/>
    <mergeCell ref="B41:B42"/>
    <mergeCell ref="A43:A44"/>
    <mergeCell ref="B43:B44"/>
    <mergeCell ref="C43:C44"/>
    <mergeCell ref="A37:A38"/>
    <mergeCell ref="B37:B38"/>
    <mergeCell ref="A39:A40"/>
    <mergeCell ref="B39:B40"/>
    <mergeCell ref="C39:C40"/>
    <mergeCell ref="A49:A50"/>
    <mergeCell ref="B49:B50"/>
    <mergeCell ref="A51:A52"/>
    <mergeCell ref="B51:B52"/>
    <mergeCell ref="C51:C52"/>
    <mergeCell ref="A45:A46"/>
    <mergeCell ref="B45:B46"/>
    <mergeCell ref="A47:A48"/>
    <mergeCell ref="B47:B48"/>
    <mergeCell ref="C47:C48"/>
    <mergeCell ref="A57:A58"/>
    <mergeCell ref="B57:B58"/>
    <mergeCell ref="A59:A60"/>
    <mergeCell ref="B59:B60"/>
    <mergeCell ref="C59:C60"/>
    <mergeCell ref="A53:A54"/>
    <mergeCell ref="B53:B54"/>
    <mergeCell ref="A55:A56"/>
    <mergeCell ref="B55:B56"/>
    <mergeCell ref="C55:C56"/>
    <mergeCell ref="A65:A66"/>
    <mergeCell ref="B65:B66"/>
    <mergeCell ref="A67:A68"/>
    <mergeCell ref="B67:B68"/>
    <mergeCell ref="C67:C68"/>
    <mergeCell ref="A61:A62"/>
    <mergeCell ref="B61:B62"/>
    <mergeCell ref="A63:A64"/>
    <mergeCell ref="B63:B64"/>
    <mergeCell ref="C63:C64"/>
    <mergeCell ref="A73:A74"/>
    <mergeCell ref="B73:B74"/>
    <mergeCell ref="A75:A76"/>
    <mergeCell ref="B75:B76"/>
    <mergeCell ref="C75:C76"/>
    <mergeCell ref="A69:A70"/>
    <mergeCell ref="B69:B70"/>
    <mergeCell ref="A71:A72"/>
    <mergeCell ref="B71:B72"/>
    <mergeCell ref="C71:C72"/>
    <mergeCell ref="A81:A82"/>
    <mergeCell ref="B81:B82"/>
    <mergeCell ref="A83:A84"/>
    <mergeCell ref="B83:B84"/>
    <mergeCell ref="C83:C84"/>
    <mergeCell ref="A77:A78"/>
    <mergeCell ref="B77:B78"/>
    <mergeCell ref="A79:A80"/>
    <mergeCell ref="B79:B80"/>
    <mergeCell ref="C79:C80"/>
    <mergeCell ref="A89:A90"/>
    <mergeCell ref="B89:B90"/>
    <mergeCell ref="A91:A92"/>
    <mergeCell ref="B91:B92"/>
    <mergeCell ref="C91:C92"/>
    <mergeCell ref="A85:A86"/>
    <mergeCell ref="B85:B86"/>
    <mergeCell ref="A87:A88"/>
    <mergeCell ref="B87:B88"/>
    <mergeCell ref="C87:C88"/>
    <mergeCell ref="A97:A98"/>
    <mergeCell ref="B97:B98"/>
    <mergeCell ref="A99:A100"/>
    <mergeCell ref="B99:B100"/>
    <mergeCell ref="C99:C100"/>
    <mergeCell ref="A93:A94"/>
    <mergeCell ref="B93:B94"/>
    <mergeCell ref="A95:A96"/>
    <mergeCell ref="B95:B96"/>
    <mergeCell ref="C95:C96"/>
    <mergeCell ref="A105:A106"/>
    <mergeCell ref="B105:B106"/>
    <mergeCell ref="A107:A108"/>
    <mergeCell ref="B107:B108"/>
    <mergeCell ref="C107:C108"/>
    <mergeCell ref="A101:A102"/>
    <mergeCell ref="B101:B102"/>
    <mergeCell ref="A103:A104"/>
    <mergeCell ref="B103:B104"/>
    <mergeCell ref="C103:C104"/>
    <mergeCell ref="A113:A114"/>
    <mergeCell ref="B113:B114"/>
    <mergeCell ref="A115:A116"/>
    <mergeCell ref="B115:B116"/>
    <mergeCell ref="C115:C116"/>
    <mergeCell ref="A109:A110"/>
    <mergeCell ref="B109:B110"/>
    <mergeCell ref="A111:A112"/>
    <mergeCell ref="B111:B112"/>
    <mergeCell ref="C111:C112"/>
    <mergeCell ref="A121:A122"/>
    <mergeCell ref="B121:B122"/>
    <mergeCell ref="A123:A124"/>
    <mergeCell ref="B123:B124"/>
    <mergeCell ref="C123:C124"/>
    <mergeCell ref="A117:A118"/>
    <mergeCell ref="B117:B118"/>
    <mergeCell ref="A119:A120"/>
    <mergeCell ref="B119:B120"/>
    <mergeCell ref="C119:C120"/>
  </mergeCells>
  <pageMargins left="0" right="0" top="0" bottom="0" header="0" footer="0"/>
  <pageSetup orientation="portrait" horizontalDpi="0" verticalDpi="0"/>
  <rowBreaks count="32" manualBreakCount="32">
    <brk id="4" max="16383" man="1"/>
    <brk id="8" max="16383" man="1"/>
    <brk id="12" max="16383" man="1"/>
    <brk id="16" max="16383" man="1"/>
    <brk id="20" max="16383" man="1"/>
    <brk id="24" max="16383" man="1"/>
    <brk id="28" max="16383" man="1"/>
    <brk id="32" max="16383" man="1"/>
    <brk id="36" max="16383" man="1"/>
    <brk id="40" max="16383" man="1"/>
    <brk id="44" max="16383" man="1"/>
    <brk id="48" max="16383" man="1"/>
    <brk id="52" max="16383" man="1"/>
    <brk id="56" max="16383" man="1"/>
    <brk id="60" max="16383" man="1"/>
    <brk id="64" max="16383" man="1"/>
    <brk id="68" max="16383" man="1"/>
    <brk id="72" max="16383" man="1"/>
    <brk id="76" max="16383" man="1"/>
    <brk id="80" max="16383" man="1"/>
    <brk id="84" max="16383" man="1"/>
    <brk id="88" max="16383" man="1"/>
    <brk id="92" max="16383" man="1"/>
    <brk id="96" max="16383" man="1"/>
    <brk id="100" max="16383" man="1"/>
    <brk id="104" max="16383" man="1"/>
    <brk id="108" max="16383" man="1"/>
    <brk id="112" max="16383" man="1"/>
    <brk id="116" max="16383" man="1"/>
    <brk id="120" max="16383" man="1"/>
    <brk id="124" max="16383" man="1"/>
    <brk id="128" max="16383" man="1"/>
  </rowBreaks>
  <colBreaks count="1" manualBreakCount="1">
    <brk id="5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tMaterials"/>
  <dimension ref="A1:R85"/>
  <sheetViews>
    <sheetView showGridLines="0" workbookViewId="0">
      <pane ySplit="1" topLeftCell="A38" activePane="bottomLeft" state="frozen"/>
      <selection pane="bottomLeft" activeCell="A54" sqref="A54"/>
    </sheetView>
  </sheetViews>
  <sheetFormatPr baseColWidth="10" defaultColWidth="8.83203125" defaultRowHeight="16"/>
  <cols>
    <col min="1" max="1" width="28.6640625" bestFit="1" customWidth="1"/>
    <col min="2" max="2" width="16" style="11" customWidth="1"/>
    <col min="17" max="18" width="0" hidden="1" customWidth="1"/>
  </cols>
  <sheetData>
    <row r="1" spans="1:18">
      <c r="A1" s="21" t="s">
        <v>21</v>
      </c>
      <c r="B1" s="22" t="s">
        <v>24</v>
      </c>
      <c r="Q1" t="s">
        <v>111</v>
      </c>
    </row>
    <row r="2" spans="1:18">
      <c r="A2" s="30" t="s">
        <v>28</v>
      </c>
      <c r="B2" s="11" t="s">
        <v>29</v>
      </c>
      <c r="Q2" t="s">
        <v>46</v>
      </c>
      <c r="R2" t="s">
        <v>42</v>
      </c>
    </row>
    <row r="3" spans="1:18">
      <c r="A3" s="30" t="s">
        <v>151</v>
      </c>
      <c r="B3" s="11" t="s">
        <v>29</v>
      </c>
      <c r="Q3" t="s">
        <v>66</v>
      </c>
      <c r="R3" t="s">
        <v>29</v>
      </c>
    </row>
    <row r="4" spans="1:18">
      <c r="A4" s="30" t="s">
        <v>30</v>
      </c>
      <c r="B4" s="11" t="s">
        <v>27</v>
      </c>
      <c r="Q4" t="s">
        <v>44</v>
      </c>
      <c r="R4" t="s">
        <v>45</v>
      </c>
    </row>
    <row r="5" spans="1:18">
      <c r="A5" s="30" t="s">
        <v>31</v>
      </c>
      <c r="B5" s="11" t="s">
        <v>27</v>
      </c>
      <c r="Q5" t="s">
        <v>41</v>
      </c>
      <c r="R5" t="s">
        <v>42</v>
      </c>
    </row>
    <row r="6" spans="1:18">
      <c r="A6" t="s">
        <v>128</v>
      </c>
      <c r="B6" s="11" t="s">
        <v>25</v>
      </c>
      <c r="Q6" t="s">
        <v>107</v>
      </c>
      <c r="R6" t="s">
        <v>29</v>
      </c>
    </row>
    <row r="7" spans="1:18">
      <c r="A7" s="30" t="s">
        <v>155</v>
      </c>
      <c r="B7" s="11" t="s">
        <v>29</v>
      </c>
      <c r="Q7" t="s">
        <v>48</v>
      </c>
      <c r="R7" t="s">
        <v>27</v>
      </c>
    </row>
    <row r="8" spans="1:18">
      <c r="A8" s="30" t="s">
        <v>139</v>
      </c>
      <c r="B8" s="11" t="s">
        <v>27</v>
      </c>
    </row>
    <row r="9" spans="1:18">
      <c r="A9" s="30" t="s">
        <v>115</v>
      </c>
      <c r="B9" s="11" t="s">
        <v>29</v>
      </c>
      <c r="Q9" t="s">
        <v>52</v>
      </c>
      <c r="R9" t="s">
        <v>29</v>
      </c>
    </row>
    <row r="10" spans="1:18">
      <c r="A10" s="30" t="s">
        <v>156</v>
      </c>
      <c r="B10" s="11" t="s">
        <v>27</v>
      </c>
      <c r="Q10" t="s">
        <v>91</v>
      </c>
      <c r="R10" t="s">
        <v>29</v>
      </c>
    </row>
    <row r="11" spans="1:18">
      <c r="A11" s="30" t="s">
        <v>157</v>
      </c>
      <c r="B11" s="11" t="s">
        <v>29</v>
      </c>
      <c r="Q11" t="s">
        <v>92</v>
      </c>
      <c r="R11" t="s">
        <v>42</v>
      </c>
    </row>
    <row r="12" spans="1:18">
      <c r="A12" s="30" t="s">
        <v>158</v>
      </c>
      <c r="B12" s="11" t="s">
        <v>29</v>
      </c>
      <c r="Q12" t="s">
        <v>50</v>
      </c>
      <c r="R12" t="s">
        <v>37</v>
      </c>
    </row>
    <row r="13" spans="1:18">
      <c r="A13" s="30" t="s">
        <v>33</v>
      </c>
      <c r="B13" s="11" t="s">
        <v>27</v>
      </c>
    </row>
    <row r="14" spans="1:18">
      <c r="A14" s="30" t="s">
        <v>35</v>
      </c>
      <c r="B14" s="11" t="s">
        <v>27</v>
      </c>
      <c r="Q14" t="s">
        <v>36</v>
      </c>
      <c r="R14" t="s">
        <v>37</v>
      </c>
    </row>
    <row r="15" spans="1:18">
      <c r="A15" s="30" t="s">
        <v>159</v>
      </c>
      <c r="B15" s="11" t="s">
        <v>39</v>
      </c>
      <c r="Q15" t="s">
        <v>30</v>
      </c>
      <c r="R15" t="s">
        <v>27</v>
      </c>
    </row>
    <row r="16" spans="1:18">
      <c r="A16" s="30" t="s">
        <v>160</v>
      </c>
      <c r="B16" s="11" t="s">
        <v>29</v>
      </c>
      <c r="Q16" t="s">
        <v>51</v>
      </c>
      <c r="R16" t="s">
        <v>42</v>
      </c>
    </row>
    <row r="17" spans="1:18">
      <c r="A17" t="s">
        <v>36</v>
      </c>
      <c r="B17" s="11" t="s">
        <v>37</v>
      </c>
    </row>
    <row r="18" spans="1:18">
      <c r="A18" s="30" t="s">
        <v>135</v>
      </c>
      <c r="B18" s="11" t="s">
        <v>39</v>
      </c>
      <c r="Q18" t="s">
        <v>90</v>
      </c>
      <c r="R18" t="s">
        <v>29</v>
      </c>
    </row>
    <row r="19" spans="1:18">
      <c r="A19" t="s">
        <v>113</v>
      </c>
      <c r="B19" s="11" t="s">
        <v>37</v>
      </c>
    </row>
    <row r="20" spans="1:18">
      <c r="A20" s="30" t="s">
        <v>72</v>
      </c>
      <c r="B20" s="11" t="s">
        <v>39</v>
      </c>
      <c r="Q20" t="s">
        <v>56</v>
      </c>
      <c r="R20" t="s">
        <v>39</v>
      </c>
    </row>
    <row r="21" spans="1:18">
      <c r="A21" s="30" t="s">
        <v>150</v>
      </c>
      <c r="B21" s="11" t="s">
        <v>29</v>
      </c>
      <c r="Q21" t="s">
        <v>65</v>
      </c>
      <c r="R21" t="s">
        <v>27</v>
      </c>
    </row>
    <row r="22" spans="1:18">
      <c r="A22" s="30" t="s">
        <v>76</v>
      </c>
      <c r="B22" s="11" t="s">
        <v>27</v>
      </c>
      <c r="Q22" t="s">
        <v>104</v>
      </c>
      <c r="R22" t="s">
        <v>45</v>
      </c>
    </row>
    <row r="23" spans="1:18">
      <c r="A23" s="30" t="s">
        <v>78</v>
      </c>
      <c r="B23" s="11" t="s">
        <v>27</v>
      </c>
      <c r="Q23" t="s">
        <v>61</v>
      </c>
      <c r="R23" t="s">
        <v>37</v>
      </c>
    </row>
    <row r="24" spans="1:18">
      <c r="A24" s="30" t="s">
        <v>79</v>
      </c>
      <c r="B24" s="11" t="s">
        <v>27</v>
      </c>
      <c r="Q24" t="s">
        <v>62</v>
      </c>
      <c r="R24" t="s">
        <v>37</v>
      </c>
    </row>
    <row r="25" spans="1:18">
      <c r="A25" s="30" t="s">
        <v>47</v>
      </c>
      <c r="B25" s="11" t="s">
        <v>39</v>
      </c>
      <c r="Q25" t="s">
        <v>33</v>
      </c>
      <c r="R25" t="s">
        <v>27</v>
      </c>
    </row>
    <row r="26" spans="1:18">
      <c r="A26" t="s">
        <v>129</v>
      </c>
      <c r="B26" s="11" t="s">
        <v>25</v>
      </c>
      <c r="Q26" t="s">
        <v>67</v>
      </c>
      <c r="R26" t="s">
        <v>37</v>
      </c>
    </row>
    <row r="27" spans="1:18">
      <c r="A27" s="30" t="s">
        <v>133</v>
      </c>
      <c r="B27" s="11" t="s">
        <v>37</v>
      </c>
    </row>
    <row r="28" spans="1:18">
      <c r="A28" s="30" t="s">
        <v>48</v>
      </c>
      <c r="B28" s="11" t="s">
        <v>27</v>
      </c>
    </row>
    <row r="29" spans="1:18">
      <c r="A29" s="30" t="s">
        <v>142</v>
      </c>
      <c r="B29" s="11" t="s">
        <v>29</v>
      </c>
      <c r="Q29" t="s">
        <v>49</v>
      </c>
      <c r="R29" t="s">
        <v>27</v>
      </c>
    </row>
    <row r="30" spans="1:18">
      <c r="A30" s="30" t="s">
        <v>141</v>
      </c>
      <c r="B30" s="11" t="s">
        <v>27</v>
      </c>
      <c r="Q30" t="s">
        <v>43</v>
      </c>
      <c r="R30" t="s">
        <v>37</v>
      </c>
    </row>
    <row r="31" spans="1:18">
      <c r="A31" s="30" t="s">
        <v>137</v>
      </c>
      <c r="B31" s="11" t="s">
        <v>27</v>
      </c>
      <c r="Q31" t="s">
        <v>109</v>
      </c>
      <c r="R31" t="s">
        <v>29</v>
      </c>
    </row>
    <row r="32" spans="1:18">
      <c r="A32" s="30" t="s">
        <v>161</v>
      </c>
      <c r="B32" s="11" t="s">
        <v>27</v>
      </c>
      <c r="Q32" t="s">
        <v>40</v>
      </c>
      <c r="R32" t="s">
        <v>39</v>
      </c>
    </row>
    <row r="33" spans="1:18">
      <c r="A33" s="30" t="s">
        <v>122</v>
      </c>
      <c r="B33" s="11" t="s">
        <v>39</v>
      </c>
      <c r="Q33" t="s">
        <v>31</v>
      </c>
      <c r="R33" t="s">
        <v>27</v>
      </c>
    </row>
    <row r="34" spans="1:18">
      <c r="A34" s="30" t="s">
        <v>140</v>
      </c>
      <c r="B34" s="11" t="s">
        <v>27</v>
      </c>
    </row>
    <row r="35" spans="1:18">
      <c r="A35" s="30" t="s">
        <v>94</v>
      </c>
      <c r="B35" s="11" t="s">
        <v>39</v>
      </c>
    </row>
    <row r="36" spans="1:18">
      <c r="A36" s="30" t="s">
        <v>162</v>
      </c>
      <c r="B36" s="11" t="s">
        <v>39</v>
      </c>
      <c r="Q36" t="s">
        <v>28</v>
      </c>
      <c r="R36" t="s">
        <v>29</v>
      </c>
    </row>
    <row r="37" spans="1:18">
      <c r="A37" s="30" t="s">
        <v>152</v>
      </c>
      <c r="B37" s="11" t="s">
        <v>29</v>
      </c>
      <c r="Q37" t="s">
        <v>106</v>
      </c>
      <c r="R37" t="s">
        <v>29</v>
      </c>
    </row>
    <row r="38" spans="1:18">
      <c r="A38" t="s">
        <v>126</v>
      </c>
      <c r="B38" s="11" t="s">
        <v>131</v>
      </c>
      <c r="Q38" t="s">
        <v>70</v>
      </c>
      <c r="R38" t="s">
        <v>27</v>
      </c>
    </row>
    <row r="39" spans="1:18">
      <c r="A39" t="s">
        <v>125</v>
      </c>
      <c r="B39" s="11" t="s">
        <v>131</v>
      </c>
      <c r="Q39" t="s">
        <v>69</v>
      </c>
      <c r="R39" t="s">
        <v>29</v>
      </c>
    </row>
    <row r="40" spans="1:18">
      <c r="A40" s="30" t="s">
        <v>80</v>
      </c>
      <c r="B40" s="11" t="s">
        <v>29</v>
      </c>
      <c r="Q40" t="s">
        <v>64</v>
      </c>
      <c r="R40" t="s">
        <v>27</v>
      </c>
    </row>
    <row r="41" spans="1:18">
      <c r="A41" s="30" t="s">
        <v>96</v>
      </c>
      <c r="B41" s="11" t="s">
        <v>39</v>
      </c>
    </row>
    <row r="42" spans="1:18">
      <c r="A42" s="30" t="s">
        <v>52</v>
      </c>
      <c r="B42" s="11" t="s">
        <v>29</v>
      </c>
      <c r="Q42" t="s">
        <v>98</v>
      </c>
      <c r="R42" t="s">
        <v>29</v>
      </c>
    </row>
    <row r="43" spans="1:18">
      <c r="A43" s="30" t="s">
        <v>97</v>
      </c>
      <c r="B43" s="11" t="s">
        <v>29</v>
      </c>
      <c r="Q43" t="s">
        <v>95</v>
      </c>
      <c r="R43" t="s">
        <v>29</v>
      </c>
    </row>
    <row r="44" spans="1:18">
      <c r="A44" s="30" t="s">
        <v>163</v>
      </c>
      <c r="B44" s="11" t="s">
        <v>29</v>
      </c>
      <c r="Q44" t="s">
        <v>93</v>
      </c>
      <c r="R44" t="s">
        <v>45</v>
      </c>
    </row>
    <row r="45" spans="1:18">
      <c r="A45" s="30" t="s">
        <v>164</v>
      </c>
      <c r="B45" s="11" t="s">
        <v>27</v>
      </c>
      <c r="Q45" t="s">
        <v>38</v>
      </c>
      <c r="R45" t="s">
        <v>39</v>
      </c>
    </row>
    <row r="46" spans="1:18">
      <c r="A46" s="30" t="s">
        <v>124</v>
      </c>
      <c r="B46" s="11" t="s">
        <v>27</v>
      </c>
      <c r="Q46" t="s">
        <v>110</v>
      </c>
      <c r="R46" t="s">
        <v>29</v>
      </c>
    </row>
    <row r="47" spans="1:18">
      <c r="A47" s="30" t="s">
        <v>116</v>
      </c>
      <c r="B47" s="11" t="s">
        <v>39</v>
      </c>
      <c r="Q47" t="s">
        <v>57</v>
      </c>
      <c r="R47" t="s">
        <v>45</v>
      </c>
    </row>
    <row r="48" spans="1:18">
      <c r="A48" s="30" t="s">
        <v>148</v>
      </c>
      <c r="B48" s="11" t="s">
        <v>39</v>
      </c>
      <c r="Q48" t="s">
        <v>103</v>
      </c>
      <c r="R48" t="s">
        <v>27</v>
      </c>
    </row>
    <row r="49" spans="1:18">
      <c r="A49" s="30" t="s">
        <v>123</v>
      </c>
      <c r="B49" s="11" t="s">
        <v>39</v>
      </c>
      <c r="Q49" t="s">
        <v>34</v>
      </c>
      <c r="R49" t="s">
        <v>29</v>
      </c>
    </row>
    <row r="50" spans="1:18">
      <c r="A50" s="30" t="s">
        <v>102</v>
      </c>
      <c r="B50" s="11" t="s">
        <v>39</v>
      </c>
      <c r="Q50" t="s">
        <v>26</v>
      </c>
      <c r="R50" t="s">
        <v>27</v>
      </c>
    </row>
    <row r="51" spans="1:18">
      <c r="A51" s="30" t="s">
        <v>153</v>
      </c>
      <c r="B51" s="11" t="s">
        <v>29</v>
      </c>
    </row>
    <row r="52" spans="1:18">
      <c r="A52" s="30" t="s">
        <v>145</v>
      </c>
      <c r="B52" s="11" t="s">
        <v>45</v>
      </c>
      <c r="Q52" t="s">
        <v>100</v>
      </c>
      <c r="R52" t="s">
        <v>45</v>
      </c>
    </row>
    <row r="53" spans="1:18">
      <c r="A53" s="30" t="s">
        <v>59</v>
      </c>
      <c r="B53" s="11" t="s">
        <v>29</v>
      </c>
      <c r="Q53" t="s">
        <v>54</v>
      </c>
      <c r="R53" t="s">
        <v>29</v>
      </c>
    </row>
    <row r="54" spans="1:18">
      <c r="A54" s="30" t="s">
        <v>71</v>
      </c>
      <c r="B54" s="11" t="s">
        <v>39</v>
      </c>
      <c r="Q54" t="s">
        <v>58</v>
      </c>
      <c r="R54" t="s">
        <v>29</v>
      </c>
    </row>
    <row r="55" spans="1:18">
      <c r="A55" s="30" t="s">
        <v>134</v>
      </c>
      <c r="B55" s="11" t="s">
        <v>39</v>
      </c>
      <c r="Q55" t="s">
        <v>89</v>
      </c>
      <c r="R55" t="s">
        <v>29</v>
      </c>
    </row>
    <row r="56" spans="1:18">
      <c r="A56" s="30" t="s">
        <v>138</v>
      </c>
      <c r="B56" s="11" t="s">
        <v>27</v>
      </c>
    </row>
    <row r="57" spans="1:18">
      <c r="A57" s="30" t="s">
        <v>165</v>
      </c>
      <c r="B57" s="11" t="s">
        <v>45</v>
      </c>
      <c r="Q57" t="s">
        <v>101</v>
      </c>
      <c r="R57" t="s">
        <v>29</v>
      </c>
    </row>
    <row r="58" spans="1:18">
      <c r="A58" s="30" t="s">
        <v>105</v>
      </c>
      <c r="B58" s="11" t="s">
        <v>39</v>
      </c>
    </row>
    <row r="59" spans="1:18">
      <c r="A59" s="30" t="s">
        <v>147</v>
      </c>
      <c r="B59" s="11" t="s">
        <v>37</v>
      </c>
      <c r="Q59" t="s">
        <v>55</v>
      </c>
      <c r="R59" t="s">
        <v>29</v>
      </c>
    </row>
    <row r="60" spans="1:18">
      <c r="A60" s="30" t="s">
        <v>146</v>
      </c>
      <c r="B60" s="11" t="s">
        <v>37</v>
      </c>
      <c r="Q60" t="s">
        <v>102</v>
      </c>
      <c r="R60" t="s">
        <v>29</v>
      </c>
    </row>
    <row r="61" spans="1:18">
      <c r="A61" s="30" t="s">
        <v>143</v>
      </c>
      <c r="B61" s="11" t="s">
        <v>29</v>
      </c>
      <c r="Q61" t="s">
        <v>53</v>
      </c>
      <c r="R61" t="s">
        <v>39</v>
      </c>
    </row>
    <row r="62" spans="1:18">
      <c r="A62" s="30" t="s">
        <v>64</v>
      </c>
      <c r="B62" s="11" t="s">
        <v>29</v>
      </c>
      <c r="Q62" t="s">
        <v>97</v>
      </c>
      <c r="R62" t="s">
        <v>29</v>
      </c>
    </row>
    <row r="63" spans="1:18">
      <c r="A63" t="s">
        <v>127</v>
      </c>
      <c r="B63" s="11" t="s">
        <v>132</v>
      </c>
      <c r="Q63" t="s">
        <v>108</v>
      </c>
      <c r="R63" t="s">
        <v>45</v>
      </c>
    </row>
    <row r="64" spans="1:18">
      <c r="A64" s="30" t="s">
        <v>166</v>
      </c>
      <c r="B64" s="11" t="s">
        <v>29</v>
      </c>
      <c r="Q64" t="s">
        <v>96</v>
      </c>
      <c r="R64" t="s">
        <v>27</v>
      </c>
    </row>
    <row r="65" spans="1:18">
      <c r="A65" s="30" t="s">
        <v>154</v>
      </c>
      <c r="B65" s="11" t="s">
        <v>29</v>
      </c>
    </row>
    <row r="66" spans="1:18">
      <c r="A66" s="30" t="s">
        <v>66</v>
      </c>
      <c r="B66" s="11" t="s">
        <v>29</v>
      </c>
      <c r="Q66" t="s">
        <v>47</v>
      </c>
      <c r="R66" t="s">
        <v>39</v>
      </c>
    </row>
    <row r="67" spans="1:18">
      <c r="A67" s="30" t="s">
        <v>167</v>
      </c>
      <c r="B67" s="11" t="s">
        <v>29</v>
      </c>
      <c r="Q67" t="s">
        <v>94</v>
      </c>
      <c r="R67" t="s">
        <v>27</v>
      </c>
    </row>
    <row r="68" spans="1:18">
      <c r="A68" s="30" t="s">
        <v>168</v>
      </c>
      <c r="B68" s="11" t="s">
        <v>27</v>
      </c>
    </row>
    <row r="69" spans="1:18">
      <c r="A69" s="30" t="s">
        <v>75</v>
      </c>
      <c r="B69" s="11" t="s">
        <v>39</v>
      </c>
      <c r="Q69" t="s">
        <v>60</v>
      </c>
      <c r="R69" t="s">
        <v>42</v>
      </c>
    </row>
    <row r="70" spans="1:18">
      <c r="A70" s="30" t="s">
        <v>73</v>
      </c>
      <c r="B70" s="11" t="s">
        <v>27</v>
      </c>
      <c r="Q70" t="s">
        <v>105</v>
      </c>
      <c r="R70" t="s">
        <v>27</v>
      </c>
    </row>
    <row r="71" spans="1:18">
      <c r="A71" s="30" t="s">
        <v>74</v>
      </c>
      <c r="B71" s="11" t="s">
        <v>39</v>
      </c>
      <c r="Q71" t="s">
        <v>59</v>
      </c>
      <c r="R71" t="s">
        <v>27</v>
      </c>
    </row>
    <row r="72" spans="1:18">
      <c r="A72" s="30" t="s">
        <v>144</v>
      </c>
      <c r="B72" s="11" t="s">
        <v>45</v>
      </c>
      <c r="Q72" t="s">
        <v>99</v>
      </c>
      <c r="R72" t="s">
        <v>39</v>
      </c>
    </row>
    <row r="73" spans="1:18">
      <c r="A73" s="30" t="s">
        <v>169</v>
      </c>
      <c r="B73" s="11" t="s">
        <v>39</v>
      </c>
      <c r="Q73" t="s">
        <v>32</v>
      </c>
      <c r="R73" t="s">
        <v>29</v>
      </c>
    </row>
    <row r="74" spans="1:18">
      <c r="A74" t="s">
        <v>114</v>
      </c>
      <c r="B74" s="11" t="s">
        <v>25</v>
      </c>
    </row>
    <row r="75" spans="1:18">
      <c r="A75" t="s">
        <v>112</v>
      </c>
      <c r="B75" s="11" t="s">
        <v>25</v>
      </c>
    </row>
    <row r="76" spans="1:18">
      <c r="A76" s="30" t="s">
        <v>136</v>
      </c>
      <c r="B76" s="11" t="s">
        <v>39</v>
      </c>
      <c r="Q76" t="s">
        <v>35</v>
      </c>
      <c r="R76" t="s">
        <v>27</v>
      </c>
    </row>
    <row r="77" spans="1:18">
      <c r="A77" s="30" t="s">
        <v>149</v>
      </c>
      <c r="B77" s="11" t="s">
        <v>27</v>
      </c>
      <c r="Q77" t="s">
        <v>63</v>
      </c>
      <c r="R77" t="s">
        <v>29</v>
      </c>
    </row>
    <row r="78" spans="1:18">
      <c r="A78" t="s">
        <v>130</v>
      </c>
      <c r="B78" s="11" t="s">
        <v>130</v>
      </c>
      <c r="Q78" t="s">
        <v>68</v>
      </c>
      <c r="R78" t="s">
        <v>37</v>
      </c>
    </row>
    <row r="79" spans="1:18">
      <c r="Q79" t="s">
        <v>81</v>
      </c>
      <c r="R79" t="s">
        <v>77</v>
      </c>
    </row>
    <row r="80" spans="1:18">
      <c r="Q80" t="s">
        <v>82</v>
      </c>
      <c r="R80" t="s">
        <v>77</v>
      </c>
    </row>
    <row r="81" spans="17:18">
      <c r="Q81" t="s">
        <v>83</v>
      </c>
      <c r="R81" t="s">
        <v>84</v>
      </c>
    </row>
    <row r="82" spans="17:18">
      <c r="Q82" t="s">
        <v>85</v>
      </c>
      <c r="R82" t="s">
        <v>84</v>
      </c>
    </row>
    <row r="83" spans="17:18">
      <c r="Q83" t="s">
        <v>86</v>
      </c>
      <c r="R83" t="s">
        <v>84</v>
      </c>
    </row>
    <row r="84" spans="17:18">
      <c r="Q84" t="s">
        <v>87</v>
      </c>
      <c r="R84" t="s">
        <v>84</v>
      </c>
    </row>
    <row r="85" spans="17:18">
      <c r="Q85" t="s">
        <v>88</v>
      </c>
      <c r="R85" t="s">
        <v>25</v>
      </c>
    </row>
  </sheetData>
  <sortState xmlns:xlrd2="http://schemas.microsoft.com/office/spreadsheetml/2017/richdata2" ref="A2:R78">
    <sortCondition ref="A2"/>
  </sortState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13</vt:i4>
      </vt:variant>
    </vt:vector>
  </HeadingPairs>
  <TitlesOfParts>
    <vt:vector size="16" baseType="lpstr">
      <vt:lpstr>ORDER SHEET</vt:lpstr>
      <vt:lpstr>LABELS</vt:lpstr>
      <vt:lpstr>Materials</vt:lpstr>
      <vt:lpstr>order_AccountCol</vt:lpstr>
      <vt:lpstr>order_CNHCol</vt:lpstr>
      <vt:lpstr>order_ColourCol</vt:lpstr>
      <vt:lpstr>order_CustNameCol</vt:lpstr>
      <vt:lpstr>'ORDER SHEET'!order_DetStart</vt:lpstr>
      <vt:lpstr>order_DropCol</vt:lpstr>
      <vt:lpstr>order_FinishCol</vt:lpstr>
      <vt:lpstr>order_MaterialCol</vt:lpstr>
      <vt:lpstr>order_OrderNumCol</vt:lpstr>
      <vt:lpstr>'ORDER SHEET'!order_Qty</vt:lpstr>
      <vt:lpstr>'ORDER SHEET'!order_SheetNo</vt:lpstr>
      <vt:lpstr>order_TapeSplineCol</vt:lpstr>
      <vt:lpstr>order_WidthCol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Younghoon Jung</cp:lastModifiedBy>
  <cp:lastPrinted>2021-01-13T22:47:23Z</cp:lastPrinted>
  <dcterms:created xsi:type="dcterms:W3CDTF">2017-06-01T03:32:01Z</dcterms:created>
  <dcterms:modified xsi:type="dcterms:W3CDTF">2026-05-11T08:48:40Z</dcterms:modified>
</cp:coreProperties>
</file>